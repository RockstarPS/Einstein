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basavar\Documents\"/>
    </mc:Choice>
  </mc:AlternateContent>
  <xr:revisionPtr revIDLastSave="0" documentId="8_{4E246775-055D-47AF-B191-A1789C1D262E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RxSignals" sheetId="1" r:id="rId1"/>
    <sheet name="TxSignals" sheetId="2" r:id="rId2"/>
  </sheets>
  <definedNames>
    <definedName name="_xlnm._FilterDatabase" localSheetId="0" hidden="1">RxSignals!$A$1:$S$1</definedName>
    <definedName name="_xlnm._FilterDatabase" localSheetId="1" hidden="1">TxSignals!$A$1:$M$1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1" l="1"/>
  <c r="B16" i="1"/>
  <c r="C15" i="1"/>
  <c r="B15" i="1"/>
  <c r="C12" i="1"/>
  <c r="B12" i="1"/>
  <c r="C11" i="1"/>
  <c r="B11" i="1"/>
  <c r="C10" i="1"/>
  <c r="B10" i="1"/>
  <c r="C9" i="1"/>
  <c r="B9" i="1"/>
  <c r="C8" i="1"/>
  <c r="B8" i="1"/>
  <c r="C14" i="1"/>
  <c r="B14" i="1"/>
  <c r="C7" i="1"/>
  <c r="B7" i="1"/>
  <c r="C51" i="2"/>
  <c r="B51" i="2"/>
  <c r="C50" i="2" l="1"/>
  <c r="B50" i="2"/>
  <c r="C49" i="2"/>
  <c r="B49" i="2"/>
  <c r="C48" i="2"/>
  <c r="B48" i="2"/>
  <c r="C47" i="2"/>
  <c r="B47" i="2"/>
  <c r="C46" i="2"/>
  <c r="B46" i="2"/>
  <c r="C45" i="2"/>
  <c r="B45" i="2"/>
  <c r="C44" i="2"/>
  <c r="B44" i="2"/>
  <c r="C43" i="2"/>
  <c r="B43" i="2"/>
  <c r="C42" i="2"/>
  <c r="B42" i="2"/>
  <c r="C41" i="2"/>
  <c r="B41" i="2"/>
  <c r="C40" i="2"/>
  <c r="B40" i="2"/>
  <c r="C39" i="2"/>
  <c r="B39" i="2"/>
  <c r="C38" i="2"/>
  <c r="B38" i="2"/>
  <c r="C37" i="2"/>
  <c r="B37" i="2"/>
  <c r="C36" i="2"/>
  <c r="B36" i="2"/>
  <c r="C35" i="2"/>
  <c r="B35" i="2"/>
  <c r="C34" i="2"/>
  <c r="B34" i="2"/>
  <c r="C33" i="2"/>
  <c r="B33" i="2"/>
  <c r="C32" i="2"/>
  <c r="B32" i="2"/>
  <c r="C31" i="2"/>
  <c r="B31" i="2"/>
  <c r="C30" i="2"/>
  <c r="B30" i="2"/>
  <c r="C29" i="2"/>
  <c r="B29" i="2"/>
  <c r="C28" i="2"/>
  <c r="B28" i="2"/>
  <c r="C27" i="2"/>
  <c r="B27" i="2"/>
  <c r="C26" i="2"/>
  <c r="B26" i="2"/>
  <c r="C25" i="2"/>
  <c r="B25" i="2"/>
  <c r="C24" i="2"/>
  <c r="B24" i="2"/>
  <c r="C23" i="2"/>
  <c r="B23" i="2"/>
  <c r="C22" i="2"/>
  <c r="B22" i="2"/>
  <c r="C21" i="2"/>
  <c r="B21" i="2"/>
  <c r="C20" i="2"/>
  <c r="B20" i="2"/>
  <c r="C19" i="2"/>
  <c r="B19" i="2"/>
  <c r="C18" i="2"/>
  <c r="B18" i="2"/>
  <c r="C17" i="2"/>
  <c r="B17" i="2"/>
  <c r="C16" i="2"/>
  <c r="B16" i="2"/>
  <c r="C15" i="2"/>
  <c r="B15" i="2"/>
  <c r="C14" i="2"/>
  <c r="B14" i="2"/>
  <c r="C13" i="2"/>
  <c r="B13" i="2"/>
  <c r="C12" i="2"/>
  <c r="B12" i="2"/>
  <c r="C11" i="2"/>
  <c r="B11" i="2"/>
  <c r="C10" i="2"/>
  <c r="B10" i="2"/>
  <c r="C9" i="2"/>
  <c r="B9" i="2"/>
  <c r="C8" i="2"/>
  <c r="B8" i="2"/>
  <c r="C7" i="2"/>
  <c r="B7" i="2"/>
  <c r="C6" i="2"/>
  <c r="B6" i="2"/>
  <c r="C5" i="2"/>
  <c r="B5" i="2"/>
  <c r="C4" i="2"/>
  <c r="B4" i="2"/>
  <c r="C3" i="2"/>
  <c r="B3" i="2"/>
  <c r="C2" i="2"/>
  <c r="B2" i="2"/>
  <c r="C3" i="1" l="1"/>
  <c r="C2" i="1"/>
  <c r="C5" i="1"/>
  <c r="C6" i="1"/>
  <c r="C13" i="1"/>
  <c r="C4" i="1"/>
  <c r="B3" i="1"/>
  <c r="B2" i="1"/>
  <c r="B5" i="1"/>
  <c r="B6" i="1"/>
  <c r="B13" i="1"/>
  <c r="B4" i="1"/>
</calcChain>
</file>

<file path=xl/sharedStrings.xml><?xml version="1.0" encoding="utf-8"?>
<sst xmlns="http://schemas.openxmlformats.org/spreadsheetml/2006/main" count="547" uniqueCount="106">
  <si>
    <t>Signal Name</t>
  </si>
  <si>
    <t>VSignal Name</t>
  </si>
  <si>
    <t>VSignal Enum</t>
  </si>
  <si>
    <t>Enable/Disable</t>
  </si>
  <si>
    <t>Length in bits</t>
  </si>
  <si>
    <t>Timeout Value in ms</t>
  </si>
  <si>
    <t>Message Name</t>
  </si>
  <si>
    <t>Dynamic signal  Enable/Disable</t>
  </si>
  <si>
    <t>Message Cbk Enable/Disable</t>
  </si>
  <si>
    <t>Signal Invalid  Enable/Disable</t>
  </si>
  <si>
    <t>Signal Invalid Value</t>
  </si>
  <si>
    <t>Signal Invalid Counter in ms</t>
  </si>
  <si>
    <t>Signal UB Enable/Disable</t>
  </si>
  <si>
    <t>Qf Enable/Disable</t>
  </si>
  <si>
    <t>Qf Signal</t>
  </si>
  <si>
    <t>SignalInitTrigger</t>
  </si>
  <si>
    <t>Value Retention during Wakeup Enable /Disable</t>
  </si>
  <si>
    <t>Iso Signal Support</t>
  </si>
  <si>
    <t>Comments</t>
  </si>
  <si>
    <t>TRUE</t>
  </si>
  <si>
    <t>FALSE</t>
  </si>
  <si>
    <t>None</t>
  </si>
  <si>
    <t>Enable / Disable</t>
  </si>
  <si>
    <t>Message Cbk Enable / Disable</t>
  </si>
  <si>
    <t>SignalTxConfirmation Enable / Disable</t>
  </si>
  <si>
    <t>Signal Init Trigger</t>
  </si>
  <si>
    <t>DynamicLength  Enable / Disable</t>
  </si>
  <si>
    <t>HS Init3</t>
  </si>
  <si>
    <t>Ambient_Light_level</t>
  </si>
  <si>
    <t>Illumination_level</t>
  </si>
  <si>
    <t>DayNightMode</t>
  </si>
  <si>
    <t>Illum_control</t>
  </si>
  <si>
    <t>PowerMode</t>
  </si>
  <si>
    <t>TransportMode</t>
  </si>
  <si>
    <t>VehicleSpeedABS</t>
  </si>
  <si>
    <t>VehicleControl</t>
  </si>
  <si>
    <t>SecureTxByte0</t>
  </si>
  <si>
    <t>SecureTxByte1</t>
  </si>
  <si>
    <t>SecureTxByte2</t>
  </si>
  <si>
    <t>SecureTxByte3</t>
  </si>
  <si>
    <t>MAC_Tx</t>
  </si>
  <si>
    <t>FV_Tx</t>
  </si>
  <si>
    <t>Battery_Voltage</t>
  </si>
  <si>
    <t>Odometer</t>
  </si>
  <si>
    <t>VehicleSpeedIC</t>
  </si>
  <si>
    <t>Illumination_PWM</t>
  </si>
  <si>
    <t>Debug1_Byte0</t>
  </si>
  <si>
    <t>Debug1_Byte1</t>
  </si>
  <si>
    <t>Debug1_Byte2</t>
  </si>
  <si>
    <t>Debug1_Byte3</t>
  </si>
  <si>
    <t>Debug1_Byte4</t>
  </si>
  <si>
    <t>Debug1_Byte5</t>
  </si>
  <si>
    <t>Debug1_Byte6</t>
  </si>
  <si>
    <t>Debug1_Byte7</t>
  </si>
  <si>
    <t>Debug2_Byte0</t>
  </si>
  <si>
    <t>Debug2_Byte1</t>
  </si>
  <si>
    <t>Debug2_Byte2</t>
  </si>
  <si>
    <t>Debug2_Byte3</t>
  </si>
  <si>
    <t>Debug2_Byte4</t>
  </si>
  <si>
    <t>Debug2_Byte5</t>
  </si>
  <si>
    <t>Debug2_Byte6</t>
  </si>
  <si>
    <t>Debug2_Byte7</t>
  </si>
  <si>
    <t>Debug3_Byte0</t>
  </si>
  <si>
    <t>Debug3_Byte1</t>
  </si>
  <si>
    <t>Debug3_Byte2</t>
  </si>
  <si>
    <t>Debug3_Byte3</t>
  </si>
  <si>
    <t>Debug3_Byte4</t>
  </si>
  <si>
    <t>Debug3_Byte5</t>
  </si>
  <si>
    <t>Debug3_Byte6</t>
  </si>
  <si>
    <t>Debug3_Byte7</t>
  </si>
  <si>
    <t>Debug4_Byte0</t>
  </si>
  <si>
    <t>Debug4_Byte1</t>
  </si>
  <si>
    <t>Debug4_Byte2</t>
  </si>
  <si>
    <t>Debug4_Byte3</t>
  </si>
  <si>
    <t>Debug4_Byte4</t>
  </si>
  <si>
    <t>Debug4_Byte5</t>
  </si>
  <si>
    <t>Debug4_Byte6</t>
  </si>
  <si>
    <t>Debug4_Byte7</t>
  </si>
  <si>
    <t>Debug5_Byte0</t>
  </si>
  <si>
    <t>Debug5_Byte1</t>
  </si>
  <si>
    <t>Debug5_Byte2</t>
  </si>
  <si>
    <t>Debug5_Byte3</t>
  </si>
  <si>
    <t>Debug5_Byte4</t>
  </si>
  <si>
    <t>Debug5_Byte5</t>
  </si>
  <si>
    <t>Debug5_Byte6</t>
  </si>
  <si>
    <t>Debug5_Byte7</t>
  </si>
  <si>
    <t>Cluster_Secure_Tx</t>
  </si>
  <si>
    <t>Cluster_Tx_Normal_COM_HS</t>
  </si>
  <si>
    <t>Cluster_Tx_Normal_COM_LS</t>
  </si>
  <si>
    <t>Cluster_Tx_Normal_COM_MS</t>
  </si>
  <si>
    <t>Cluster_Tx_Reduced_Com</t>
  </si>
  <si>
    <t>Debug_Frame1</t>
  </si>
  <si>
    <t>Debug_Frame2</t>
  </si>
  <si>
    <t>Debug_Frame3</t>
  </si>
  <si>
    <t>Debug_Frame4</t>
  </si>
  <si>
    <t>Debug_Frame5</t>
  </si>
  <si>
    <t>GearMode</t>
  </si>
  <si>
    <t>Airbag</t>
  </si>
  <si>
    <t>GearRecommendation</t>
  </si>
  <si>
    <t>Gear</t>
  </si>
  <si>
    <t>Warning</t>
  </si>
  <si>
    <t>GearStatus</t>
  </si>
  <si>
    <t>EngineSpeed</t>
  </si>
  <si>
    <t>ABS</t>
  </si>
  <si>
    <t>Alive_101</t>
  </si>
  <si>
    <t>CRC_101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</si>
</sst>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name val="돋움"/>
      <family val="3"/>
      <charset val="129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sz val="11"/>
      <color theme="1"/>
      <name val="Calibri"/>
      <family val="2"/>
      <charset val="128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0" fontId="4" fillId="0" borderId="0">
      <alignment vertical="center"/>
    </xf>
    <xf numFmtId="0" fontId="5" fillId="0" borderId="0">
      <alignment vertical="center"/>
    </xf>
  </cellStyleXfs>
  <cellXfs count="7">
    <xf numFmtId="0" fontId="0" fillId="0" borderId="0" xfId="0"/>
    <xf numFmtId="0" fontId="0" fillId="0" borderId="1" xfId="0" applyBorder="1" applyAlignment="1" applyProtection="1">
      <alignment horizontal="left" wrapText="1"/>
      <protection locked="0"/>
    </xf>
    <xf numFmtId="0" fontId="0" fillId="0" borderId="1" xfId="0" applyBorder="1"/>
    <xf numFmtId="0" fontId="0" fillId="0" borderId="1" xfId="0" applyBorder="1" applyAlignment="1">
      <alignment horizontal="left"/>
    </xf>
    <xf numFmtId="0" fontId="6" fillId="0" borderId="1" xfId="0" applyFont="1" applyBorder="1"/>
    <xf numFmtId="0" fontId="0" fillId="2" borderId="1" xfId="0" applyFill="1" applyBorder="1"/>
    <xf numFmtId="0" fontId="0" fillId="0" borderId="2" xfId="0" applyBorder="1"/>
  </cellXfs>
  <cellStyles count="5">
    <cellStyle name="Normal" xfId="0" builtinId="0"/>
    <cellStyle name="Normal 2" xfId="1" xr:uid="{629962E2-1247-4AC6-A6E9-71DBDA8F3706}"/>
    <cellStyle name="標準 104" xfId="2" xr:uid="{1053D2E4-E745-4BCF-8A4F-D69BEC61DFA2}"/>
    <cellStyle name="標準 2 2" xfId="3" xr:uid="{10635304-87CF-4112-A49B-17CACAF2FC6F}"/>
    <cellStyle name="標準 2 39" xfId="4" xr:uid="{F77E46C8-848A-4006-AE2A-186890F41813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16"/>
  <sheetViews>
    <sheetView tabSelected="1" zoomScale="115" zoomScaleNormal="115" workbookViewId="0">
      <selection activeCell="B17" sqref="B17"/>
    </sheetView>
  </sheetViews>
  <sheetFormatPr defaultRowHeight="14.4"/>
  <cols>
    <col min="1" max="1" width="31.109375" bestFit="1" customWidth="1"/>
    <col min="2" max="2" width="33.109375" bestFit="1" customWidth="1"/>
    <col min="3" max="3" width="33.6640625" bestFit="1" customWidth="1"/>
    <col min="4" max="4" width="13.6640625" bestFit="1" customWidth="1"/>
    <col min="5" max="5" width="12.33203125" bestFit="1" customWidth="1"/>
    <col min="6" max="6" width="18.33203125" bestFit="1" customWidth="1"/>
    <col min="7" max="7" width="24.5546875" bestFit="1" customWidth="1"/>
    <col min="8" max="8" width="27.44140625" bestFit="1" customWidth="1"/>
    <col min="9" max="9" width="25.44140625" bestFit="1" customWidth="1"/>
    <col min="10" max="10" width="26" bestFit="1" customWidth="1"/>
    <col min="11" max="11" width="17.5546875" bestFit="1" customWidth="1"/>
    <col min="12" max="12" width="24.5546875" bestFit="1" customWidth="1"/>
    <col min="13" max="13" width="22.33203125" bestFit="1" customWidth="1"/>
    <col min="14" max="14" width="16.109375" bestFit="1" customWidth="1"/>
    <col min="15" max="15" width="8.44140625" bestFit="1" customWidth="1"/>
    <col min="16" max="16" width="14.6640625" bestFit="1" customWidth="1"/>
    <col min="17" max="17" width="42.109375" bestFit="1" customWidth="1"/>
    <col min="18" max="18" width="16.33203125" bestFit="1" customWidth="1"/>
    <col min="19" max="19" width="10.109375" bestFit="1" customWidth="1"/>
  </cols>
  <sheetData>
    <row r="1" spans="1:1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1" t="s">
        <v>30</v>
      </c>
      <c r="B2" s="2" t="str">
        <f>CONCATENATE(A2," In")</f>
        <v>DayNightMode In</v>
      </c>
      <c r="C2" s="2" t="str">
        <f>CONCATENATE("e",A2,"In")</f>
        <v>eDayNightModeIn</v>
      </c>
      <c r="D2" s="2" t="s">
        <v>19</v>
      </c>
      <c r="E2" s="2">
        <v>1</v>
      </c>
      <c r="F2" s="5">
        <v>2000</v>
      </c>
      <c r="G2" s="2" t="s">
        <v>31</v>
      </c>
      <c r="H2" s="2" t="s">
        <v>20</v>
      </c>
      <c r="I2" s="3" t="b">
        <v>1</v>
      </c>
      <c r="J2" s="2" t="s">
        <v>20</v>
      </c>
      <c r="K2" s="2">
        <v>0</v>
      </c>
      <c r="L2" s="2">
        <v>0</v>
      </c>
      <c r="M2" s="2" t="s">
        <v>20</v>
      </c>
      <c r="N2" s="2" t="s">
        <v>20</v>
      </c>
      <c r="O2" s="2" t="s">
        <v>21</v>
      </c>
      <c r="P2" s="2" t="s">
        <v>27</v>
      </c>
      <c r="Q2" s="2" t="s">
        <v>20</v>
      </c>
      <c r="R2" s="2" t="s">
        <v>20</v>
      </c>
      <c r="S2" s="2"/>
    </row>
    <row r="3" spans="1:19">
      <c r="A3" s="1" t="s">
        <v>29</v>
      </c>
      <c r="B3" s="2" t="str">
        <f>CONCATENATE(A3," In")</f>
        <v>Illumination_level In</v>
      </c>
      <c r="C3" s="2" t="str">
        <f>CONCATENATE("e",A3,"In")</f>
        <v>eIllumination_levelIn</v>
      </c>
      <c r="D3" s="2" t="s">
        <v>19</v>
      </c>
      <c r="E3" s="2">
        <v>8</v>
      </c>
      <c r="F3" s="5">
        <v>2000</v>
      </c>
      <c r="G3" s="2" t="s">
        <v>31</v>
      </c>
      <c r="H3" s="2" t="s">
        <v>20</v>
      </c>
      <c r="I3" s="3" t="b">
        <v>0</v>
      </c>
      <c r="J3" s="2" t="s">
        <v>20</v>
      </c>
      <c r="K3" s="2">
        <v>0</v>
      </c>
      <c r="L3" s="2">
        <v>0</v>
      </c>
      <c r="M3" s="2" t="s">
        <v>20</v>
      </c>
      <c r="N3" s="2" t="s">
        <v>20</v>
      </c>
      <c r="O3" s="2" t="s">
        <v>21</v>
      </c>
      <c r="P3" s="2" t="s">
        <v>27</v>
      </c>
      <c r="Q3" s="2" t="s">
        <v>20</v>
      </c>
      <c r="R3" s="2" t="s">
        <v>20</v>
      </c>
      <c r="S3" s="2"/>
    </row>
    <row r="4" spans="1:19">
      <c r="A4" s="1" t="s">
        <v>28</v>
      </c>
      <c r="B4" s="2" t="str">
        <f t="shared" ref="B4:B6" si="0">CONCATENATE(A4," In")</f>
        <v>Ambient_Light_level In</v>
      </c>
      <c r="C4" s="2" t="str">
        <f t="shared" ref="C4:C6" si="1">CONCATENATE("e",A4,"In")</f>
        <v>eAmbient_Light_levelIn</v>
      </c>
      <c r="D4" s="2" t="s">
        <v>19</v>
      </c>
      <c r="E4" s="2">
        <v>8</v>
      </c>
      <c r="F4" s="5">
        <v>2000</v>
      </c>
      <c r="G4" s="2" t="s">
        <v>31</v>
      </c>
      <c r="H4" s="2" t="s">
        <v>20</v>
      </c>
      <c r="I4" s="3" t="b">
        <v>0</v>
      </c>
      <c r="J4" s="2" t="s">
        <v>20</v>
      </c>
      <c r="K4" s="2">
        <v>0</v>
      </c>
      <c r="L4" s="2">
        <v>0</v>
      </c>
      <c r="M4" s="2" t="s">
        <v>20</v>
      </c>
      <c r="N4" s="2" t="s">
        <v>20</v>
      </c>
      <c r="O4" s="2" t="s">
        <v>21</v>
      </c>
      <c r="P4" s="2" t="s">
        <v>27</v>
      </c>
      <c r="Q4" s="2" t="s">
        <v>20</v>
      </c>
      <c r="R4" s="2" t="s">
        <v>20</v>
      </c>
      <c r="S4" s="2"/>
    </row>
    <row r="5" spans="1:19">
      <c r="A5" s="1" t="s">
        <v>32</v>
      </c>
      <c r="B5" s="2" t="str">
        <f t="shared" si="0"/>
        <v>PowerMode In</v>
      </c>
      <c r="C5" s="2" t="str">
        <f t="shared" si="1"/>
        <v>ePowerModeIn</v>
      </c>
      <c r="D5" s="2" t="s">
        <v>19</v>
      </c>
      <c r="E5" s="2">
        <v>4</v>
      </c>
      <c r="F5" s="5">
        <v>2000</v>
      </c>
      <c r="G5" s="2" t="s">
        <v>35</v>
      </c>
      <c r="H5" s="2" t="s">
        <v>20</v>
      </c>
      <c r="I5" s="3" t="b">
        <v>1</v>
      </c>
      <c r="J5" s="2" t="s">
        <v>20</v>
      </c>
      <c r="K5" s="2">
        <v>0</v>
      </c>
      <c r="L5" s="2">
        <v>0</v>
      </c>
      <c r="M5" s="2" t="s">
        <v>20</v>
      </c>
      <c r="N5" s="2" t="s">
        <v>20</v>
      </c>
      <c r="O5" s="2" t="s">
        <v>21</v>
      </c>
      <c r="P5" s="2" t="s">
        <v>27</v>
      </c>
      <c r="Q5" s="2" t="s">
        <v>20</v>
      </c>
      <c r="R5" s="2" t="s">
        <v>20</v>
      </c>
      <c r="S5" s="2"/>
    </row>
    <row r="6" spans="1:19">
      <c r="A6" s="1" t="s">
        <v>33</v>
      </c>
      <c r="B6" s="2" t="str">
        <f t="shared" si="0"/>
        <v>TransportMode In</v>
      </c>
      <c r="C6" s="2" t="str">
        <f t="shared" si="1"/>
        <v>eTransportModeIn</v>
      </c>
      <c r="D6" s="2" t="s">
        <v>19</v>
      </c>
      <c r="E6" s="2">
        <v>1</v>
      </c>
      <c r="F6" s="5">
        <v>2000</v>
      </c>
      <c r="G6" s="2" t="s">
        <v>35</v>
      </c>
      <c r="H6" s="2" t="s">
        <v>20</v>
      </c>
      <c r="I6" s="3" t="b">
        <v>0</v>
      </c>
      <c r="J6" s="2" t="s">
        <v>20</v>
      </c>
      <c r="K6" s="2">
        <v>0</v>
      </c>
      <c r="L6" s="2">
        <v>0</v>
      </c>
      <c r="M6" s="2" t="s">
        <v>20</v>
      </c>
      <c r="N6" s="2" t="s">
        <v>20</v>
      </c>
      <c r="O6" s="2" t="s">
        <v>21</v>
      </c>
      <c r="P6" s="2" t="s">
        <v>27</v>
      </c>
      <c r="Q6" s="2" t="s">
        <v>20</v>
      </c>
      <c r="R6" s="2" t="s">
        <v>20</v>
      </c>
      <c r="S6" s="2"/>
    </row>
    <row r="7" spans="1:19">
      <c r="A7" s="1" t="s">
        <v>96</v>
      </c>
      <c r="B7" s="2" t="str">
        <f t="shared" ref="B7" si="2">CONCATENATE(A7," In")</f>
        <v>GearMode In</v>
      </c>
      <c r="C7" s="2" t="str">
        <f t="shared" ref="C7" si="3">CONCATENATE("e",A7,"In")</f>
        <v>eGearModeIn</v>
      </c>
      <c r="D7" s="2" t="s">
        <v>19</v>
      </c>
      <c r="E7" s="2">
        <v>1</v>
      </c>
      <c r="F7" s="5">
        <v>2000</v>
      </c>
      <c r="G7" s="2" t="s">
        <v>35</v>
      </c>
      <c r="H7" s="2" t="s">
        <v>20</v>
      </c>
      <c r="I7" s="3" t="b">
        <v>0</v>
      </c>
      <c r="J7" s="2" t="s">
        <v>20</v>
      </c>
      <c r="K7" s="2">
        <v>0</v>
      </c>
      <c r="L7" s="2">
        <v>0</v>
      </c>
      <c r="M7" s="2" t="s">
        <v>20</v>
      </c>
      <c r="N7" s="2" t="s">
        <v>20</v>
      </c>
      <c r="O7" s="2" t="s">
        <v>21</v>
      </c>
      <c r="P7" s="2" t="s">
        <v>27</v>
      </c>
      <c r="Q7" s="2" t="s">
        <v>20</v>
      </c>
      <c r="R7" s="2" t="s">
        <v>20</v>
      </c>
      <c r="S7" s="2"/>
    </row>
    <row r="8" spans="1:19">
      <c r="A8" s="1" t="s">
        <v>98</v>
      </c>
      <c r="B8" s="2" t="str">
        <f t="shared" ref="B8:B11" si="4">CONCATENATE(A8," In")</f>
        <v>GearRecommendation In</v>
      </c>
      <c r="C8" s="2" t="str">
        <f t="shared" ref="C8:C11" si="5">CONCATENATE("e",A8,"In")</f>
        <v>eGearRecommendationIn</v>
      </c>
      <c r="D8" s="2" t="s">
        <v>19</v>
      </c>
      <c r="E8" s="2">
        <v>3</v>
      </c>
      <c r="F8" s="5">
        <v>2000</v>
      </c>
      <c r="G8" s="2" t="s">
        <v>35</v>
      </c>
      <c r="H8" s="2" t="s">
        <v>20</v>
      </c>
      <c r="I8" s="3" t="b">
        <v>0</v>
      </c>
      <c r="J8" s="2" t="s">
        <v>20</v>
      </c>
      <c r="K8" s="2">
        <v>0</v>
      </c>
      <c r="L8" s="2">
        <v>0</v>
      </c>
      <c r="M8" s="2" t="s">
        <v>20</v>
      </c>
      <c r="N8" s="2" t="s">
        <v>20</v>
      </c>
      <c r="O8" s="2" t="s">
        <v>21</v>
      </c>
      <c r="P8" s="2" t="s">
        <v>27</v>
      </c>
      <c r="Q8" s="2" t="s">
        <v>20</v>
      </c>
      <c r="R8" s="2" t="s">
        <v>20</v>
      </c>
      <c r="S8" s="2"/>
    </row>
    <row r="9" spans="1:19">
      <c r="A9" s="1" t="s">
        <v>99</v>
      </c>
      <c r="B9" s="2" t="str">
        <f t="shared" si="4"/>
        <v>Gear In</v>
      </c>
      <c r="C9" s="2" t="str">
        <f t="shared" si="5"/>
        <v>eGearIn</v>
      </c>
      <c r="D9" s="2" t="s">
        <v>19</v>
      </c>
      <c r="E9" s="2">
        <v>4</v>
      </c>
      <c r="F9" s="5">
        <v>2000</v>
      </c>
      <c r="G9" s="2" t="s">
        <v>35</v>
      </c>
      <c r="H9" s="2" t="s">
        <v>20</v>
      </c>
      <c r="I9" s="3" t="b">
        <v>0</v>
      </c>
      <c r="J9" s="2" t="s">
        <v>20</v>
      </c>
      <c r="K9" s="2">
        <v>0</v>
      </c>
      <c r="L9" s="2">
        <v>0</v>
      </c>
      <c r="M9" s="2" t="s">
        <v>20</v>
      </c>
      <c r="N9" s="2" t="s">
        <v>20</v>
      </c>
      <c r="O9" s="2" t="s">
        <v>21</v>
      </c>
      <c r="P9" s="2" t="s">
        <v>27</v>
      </c>
      <c r="Q9" s="2" t="s">
        <v>20</v>
      </c>
      <c r="R9" s="2" t="s">
        <v>20</v>
      </c>
      <c r="S9" s="2"/>
    </row>
    <row r="10" spans="1:19">
      <c r="A10" s="1" t="s">
        <v>100</v>
      </c>
      <c r="B10" s="2" t="str">
        <f t="shared" si="4"/>
        <v>Warning In</v>
      </c>
      <c r="C10" s="2" t="str">
        <f t="shared" si="5"/>
        <v>eWarningIn</v>
      </c>
      <c r="D10" s="2" t="s">
        <v>19</v>
      </c>
      <c r="E10" s="2">
        <v>8</v>
      </c>
      <c r="F10" s="5">
        <v>2000</v>
      </c>
      <c r="G10" s="2" t="s">
        <v>35</v>
      </c>
      <c r="H10" s="2" t="s">
        <v>20</v>
      </c>
      <c r="I10" s="3" t="b">
        <v>0</v>
      </c>
      <c r="J10" s="2" t="s">
        <v>20</v>
      </c>
      <c r="K10" s="2">
        <v>0</v>
      </c>
      <c r="L10" s="2">
        <v>0</v>
      </c>
      <c r="M10" s="2" t="s">
        <v>20</v>
      </c>
      <c r="N10" s="2" t="s">
        <v>20</v>
      </c>
      <c r="O10" s="2" t="s">
        <v>21</v>
      </c>
      <c r="P10" s="2" t="s">
        <v>27</v>
      </c>
      <c r="Q10" s="2" t="s">
        <v>20</v>
      </c>
      <c r="R10" s="2" t="s">
        <v>20</v>
      </c>
      <c r="S10" s="2"/>
    </row>
    <row r="11" spans="1:19">
      <c r="A11" s="1" t="s">
        <v>101</v>
      </c>
      <c r="B11" s="2" t="str">
        <f t="shared" si="4"/>
        <v>GearStatus In</v>
      </c>
      <c r="C11" s="2" t="str">
        <f t="shared" si="5"/>
        <v>eGearStatusIn</v>
      </c>
      <c r="D11" s="2" t="s">
        <v>19</v>
      </c>
      <c r="E11" s="2">
        <v>8</v>
      </c>
      <c r="F11" s="5">
        <v>2000</v>
      </c>
      <c r="G11" s="2" t="s">
        <v>35</v>
      </c>
      <c r="H11" s="2" t="s">
        <v>20</v>
      </c>
      <c r="I11" s="3" t="b">
        <v>0</v>
      </c>
      <c r="J11" s="2" t="s">
        <v>20</v>
      </c>
      <c r="K11" s="2">
        <v>0</v>
      </c>
      <c r="L11" s="2">
        <v>0</v>
      </c>
      <c r="M11" s="2" t="s">
        <v>20</v>
      </c>
      <c r="N11" s="2" t="s">
        <v>20</v>
      </c>
      <c r="O11" s="2" t="s">
        <v>21</v>
      </c>
      <c r="P11" s="2" t="s">
        <v>27</v>
      </c>
      <c r="Q11" s="2" t="s">
        <v>20</v>
      </c>
      <c r="R11" s="2" t="s">
        <v>20</v>
      </c>
      <c r="S11" s="2"/>
    </row>
    <row r="12" spans="1:19">
      <c r="A12" s="1" t="s">
        <v>102</v>
      </c>
      <c r="B12" s="2" t="str">
        <f t="shared" ref="B12" si="6">CONCATENATE(A12," In")</f>
        <v>EngineSpeed In</v>
      </c>
      <c r="C12" s="2" t="str">
        <f t="shared" ref="C12" si="7">CONCATENATE("e",A12,"In")</f>
        <v>eEngineSpeedIn</v>
      </c>
      <c r="D12" s="2" t="s">
        <v>19</v>
      </c>
      <c r="E12" s="2">
        <v>16</v>
      </c>
      <c r="F12" s="5">
        <v>2000</v>
      </c>
      <c r="G12" s="2" t="s">
        <v>35</v>
      </c>
      <c r="H12" s="2" t="s">
        <v>20</v>
      </c>
      <c r="I12" s="3" t="b">
        <v>0</v>
      </c>
      <c r="J12" s="2" t="s">
        <v>20</v>
      </c>
      <c r="K12" s="2">
        <v>0</v>
      </c>
      <c r="L12" s="2">
        <v>0</v>
      </c>
      <c r="M12" s="2" t="s">
        <v>20</v>
      </c>
      <c r="N12" s="2" t="s">
        <v>20</v>
      </c>
      <c r="O12" s="2" t="s">
        <v>21</v>
      </c>
      <c r="P12" s="2" t="s">
        <v>27</v>
      </c>
      <c r="Q12" s="2" t="s">
        <v>20</v>
      </c>
      <c r="R12" s="2" t="s">
        <v>20</v>
      </c>
      <c r="S12" s="2"/>
    </row>
    <row r="13" spans="1:19">
      <c r="A13" s="1" t="s">
        <v>34</v>
      </c>
      <c r="B13" s="2" t="str">
        <f>CONCATENATE(A13," In")</f>
        <v>VehicleSpeedABS In</v>
      </c>
      <c r="C13" s="2" t="str">
        <f>CONCATENATE("e",A13,"In")</f>
        <v>eVehicleSpeedABSIn</v>
      </c>
      <c r="D13" s="2" t="s">
        <v>19</v>
      </c>
      <c r="E13" s="2">
        <v>16</v>
      </c>
      <c r="F13" s="5">
        <v>2000</v>
      </c>
      <c r="G13" s="2" t="s">
        <v>103</v>
      </c>
      <c r="H13" s="2" t="s">
        <v>20</v>
      </c>
      <c r="I13" s="3" t="b">
        <v>1</v>
      </c>
      <c r="J13" s="2" t="s">
        <v>20</v>
      </c>
      <c r="K13" s="2">
        <v>0</v>
      </c>
      <c r="L13" s="2">
        <v>0</v>
      </c>
      <c r="M13" s="2" t="s">
        <v>20</v>
      </c>
      <c r="N13" s="2" t="s">
        <v>20</v>
      </c>
      <c r="O13" s="2" t="s">
        <v>21</v>
      </c>
      <c r="P13" s="2" t="s">
        <v>27</v>
      </c>
      <c r="Q13" s="2" t="s">
        <v>20</v>
      </c>
      <c r="R13" s="2" t="s">
        <v>20</v>
      </c>
      <c r="S13" s="2"/>
    </row>
    <row r="14" spans="1:19">
      <c r="A14" s="1" t="s">
        <v>97</v>
      </c>
      <c r="B14" s="2" t="str">
        <f>CONCATENATE(A14," In")</f>
        <v>Airbag In</v>
      </c>
      <c r="C14" s="2" t="str">
        <f>CONCATENATE("e",A14,"In")</f>
        <v>eAirbagIn</v>
      </c>
      <c r="D14" s="2" t="s">
        <v>19</v>
      </c>
      <c r="E14" s="2">
        <v>2</v>
      </c>
      <c r="F14" s="5">
        <v>2000</v>
      </c>
      <c r="G14" s="2" t="s">
        <v>103</v>
      </c>
      <c r="H14" s="2" t="s">
        <v>20</v>
      </c>
      <c r="I14" s="3" t="b">
        <v>0</v>
      </c>
      <c r="J14" s="2" t="s">
        <v>20</v>
      </c>
      <c r="K14" s="2">
        <v>0</v>
      </c>
      <c r="L14" s="2">
        <v>0</v>
      </c>
      <c r="M14" s="2" t="s">
        <v>20</v>
      </c>
      <c r="N14" s="2" t="s">
        <v>20</v>
      </c>
      <c r="O14" s="2" t="s">
        <v>21</v>
      </c>
      <c r="P14" s="2" t="s">
        <v>27</v>
      </c>
      <c r="Q14" s="2" t="s">
        <v>20</v>
      </c>
      <c r="R14" s="2" t="s">
        <v>20</v>
      </c>
      <c r="S14" s="2"/>
    </row>
    <row r="15" spans="1:19">
      <c r="A15" s="1" t="s">
        <v>104</v>
      </c>
      <c r="B15" s="2" t="str">
        <f>CONCATENATE(A15," In")</f>
        <v>Alive_101 In</v>
      </c>
      <c r="C15" s="2" t="str">
        <f>CONCATENATE("e",A15,"In")</f>
        <v>eAlive_101In</v>
      </c>
      <c r="D15" s="2" t="s">
        <v>19</v>
      </c>
      <c r="E15" s="2">
        <v>4</v>
      </c>
      <c r="F15" s="5">
        <v>2000</v>
      </c>
      <c r="G15" s="2" t="s">
        <v>103</v>
      </c>
      <c r="H15" s="2" t="s">
        <v>20</v>
      </c>
      <c r="I15" s="3" t="b">
        <v>0</v>
      </c>
      <c r="J15" s="2" t="s">
        <v>20</v>
      </c>
      <c r="K15" s="2">
        <v>0</v>
      </c>
      <c r="L15" s="2">
        <v>0</v>
      </c>
      <c r="M15" s="2" t="s">
        <v>20</v>
      </c>
      <c r="N15" s="2" t="s">
        <v>20</v>
      </c>
      <c r="O15" s="2" t="s">
        <v>21</v>
      </c>
      <c r="P15" s="2" t="s">
        <v>27</v>
      </c>
      <c r="Q15" s="2" t="s">
        <v>20</v>
      </c>
      <c r="R15" s="2" t="s">
        <v>20</v>
      </c>
      <c r="S15" s="2"/>
    </row>
    <row r="16" spans="1:19">
      <c r="A16" s="1" t="s">
        <v>105</v>
      </c>
      <c r="B16" s="2" t="str">
        <f>CONCATENATE(A16," In")</f>
        <v>CRC_101 In</v>
      </c>
      <c r="C16" s="2" t="str">
        <f>CONCATENATE("e",A16,"In")</f>
        <v>eCRC_101In</v>
      </c>
      <c r="D16" s="2" t="s">
        <v>19</v>
      </c>
      <c r="E16" s="2">
        <v>8</v>
      </c>
      <c r="F16" s="5">
        <v>2000</v>
      </c>
      <c r="G16" s="2" t="s">
        <v>103</v>
      </c>
      <c r="H16" s="2" t="s">
        <v>20</v>
      </c>
      <c r="I16" s="3" t="b">
        <v>0</v>
      </c>
      <c r="J16" s="2" t="s">
        <v>20</v>
      </c>
      <c r="K16" s="2">
        <v>0</v>
      </c>
      <c r="L16" s="2">
        <v>0</v>
      </c>
      <c r="M16" s="2" t="s">
        <v>20</v>
      </c>
      <c r="N16" s="2" t="s">
        <v>20</v>
      </c>
      <c r="O16" s="2" t="s">
        <v>21</v>
      </c>
      <c r="P16" s="2" t="s">
        <v>27</v>
      </c>
      <c r="Q16" s="2" t="s">
        <v>20</v>
      </c>
      <c r="R16" s="2" t="s">
        <v>20</v>
      </c>
      <c r="S16" s="2"/>
    </row>
  </sheetData>
  <phoneticPr fontId="2" type="noConversion"/>
  <conditionalFormatting sqref="C17:C1048576">
    <cfRule type="duplicateValues" dxfId="1" priority="21"/>
  </conditionalFormatting>
  <conditionalFormatting sqref="C1">
    <cfRule type="duplicateValues" dxfId="0" priority="22"/>
  </conditionalFormatting>
  <dataValidations count="1">
    <dataValidation type="list" allowBlank="1" showInputMessage="1" showErrorMessage="1" sqref="D2:D16 M2:N16 Q2:R16 H2:J16" xr:uid="{00000000-0002-0000-0000-000000000000}">
      <formula1>"FALSE,TRUE"</formula1>
    </dataValidation>
  </dataValidation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M51"/>
  <sheetViews>
    <sheetView zoomScaleNormal="100" workbookViewId="0">
      <pane ySplit="1" topLeftCell="A2" activePane="bottomLeft" state="frozen"/>
      <selection pane="bottomLeft" activeCell="A5" sqref="A5"/>
    </sheetView>
  </sheetViews>
  <sheetFormatPr defaultRowHeight="14.4"/>
  <cols>
    <col min="1" max="1" width="30.88671875" bestFit="1" customWidth="1"/>
    <col min="2" max="2" width="34.44140625" bestFit="1" customWidth="1"/>
    <col min="3" max="3" width="35" bestFit="1" customWidth="1"/>
    <col min="4" max="4" width="14.5546875" bestFit="1" customWidth="1"/>
    <col min="5" max="5" width="12.33203125" bestFit="1" customWidth="1"/>
    <col min="6" max="6" width="25.6640625" bestFit="1" customWidth="1"/>
    <col min="7" max="7" width="26.33203125" bestFit="1" customWidth="1"/>
    <col min="8" max="8" width="33.44140625" bestFit="1" customWidth="1"/>
    <col min="9" max="9" width="42.109375" bestFit="1" customWidth="1"/>
    <col min="10" max="10" width="15.5546875" bestFit="1" customWidth="1"/>
    <col min="11" max="11" width="28.88671875" bestFit="1" customWidth="1"/>
    <col min="12" max="12" width="16.33203125" bestFit="1" customWidth="1"/>
    <col min="13" max="13" width="10.109375" bestFit="1" customWidth="1"/>
  </cols>
  <sheetData>
    <row r="1" spans="1:13">
      <c r="A1" s="4" t="s">
        <v>0</v>
      </c>
      <c r="B1" s="4" t="s">
        <v>1</v>
      </c>
      <c r="C1" s="4" t="s">
        <v>2</v>
      </c>
      <c r="D1" s="4" t="s">
        <v>22</v>
      </c>
      <c r="E1" s="4" t="s">
        <v>4</v>
      </c>
      <c r="F1" s="4" t="s">
        <v>6</v>
      </c>
      <c r="G1" s="4" t="s">
        <v>23</v>
      </c>
      <c r="H1" s="4" t="s">
        <v>24</v>
      </c>
      <c r="I1" s="4" t="s">
        <v>16</v>
      </c>
      <c r="J1" s="4" t="s">
        <v>25</v>
      </c>
      <c r="K1" s="4" t="s">
        <v>26</v>
      </c>
      <c r="L1" s="4" t="s">
        <v>17</v>
      </c>
      <c r="M1" s="4" t="s">
        <v>18</v>
      </c>
    </row>
    <row r="2" spans="1:13">
      <c r="A2" s="2" t="s">
        <v>36</v>
      </c>
      <c r="B2" s="6" t="str">
        <f t="shared" ref="B2:B51" si="0">CONCATENATE(A2," Out")</f>
        <v>SecureTxByte0 Out</v>
      </c>
      <c r="C2" s="2" t="str">
        <f t="shared" ref="C2:C51" si="1">CONCATENATE("e",A2,"Out")</f>
        <v>eSecureTxByte0Out</v>
      </c>
      <c r="D2" s="3" t="b">
        <v>1</v>
      </c>
      <c r="E2" s="2">
        <v>8</v>
      </c>
      <c r="F2" s="2" t="s">
        <v>86</v>
      </c>
      <c r="G2" s="2" t="s">
        <v>20</v>
      </c>
      <c r="H2" s="3" t="b">
        <v>1</v>
      </c>
      <c r="I2" s="2" t="s">
        <v>20</v>
      </c>
      <c r="J2" s="2" t="s">
        <v>27</v>
      </c>
      <c r="K2" s="2" t="s">
        <v>20</v>
      </c>
      <c r="L2" s="2" t="s">
        <v>20</v>
      </c>
      <c r="M2" s="2"/>
    </row>
    <row r="3" spans="1:13">
      <c r="A3" s="2" t="s">
        <v>37</v>
      </c>
      <c r="B3" s="6" t="str">
        <f t="shared" si="0"/>
        <v>SecureTxByte1 Out</v>
      </c>
      <c r="C3" s="2" t="str">
        <f t="shared" si="1"/>
        <v>eSecureTxByte1Out</v>
      </c>
      <c r="D3" s="3" t="b">
        <v>1</v>
      </c>
      <c r="E3" s="2">
        <v>8</v>
      </c>
      <c r="F3" s="2" t="s">
        <v>86</v>
      </c>
      <c r="G3" s="2" t="s">
        <v>20</v>
      </c>
      <c r="H3" s="3" t="b">
        <v>0</v>
      </c>
      <c r="I3" s="2" t="s">
        <v>20</v>
      </c>
      <c r="J3" s="2" t="s">
        <v>27</v>
      </c>
      <c r="K3" s="2" t="s">
        <v>20</v>
      </c>
      <c r="L3" s="2" t="s">
        <v>20</v>
      </c>
      <c r="M3" s="2"/>
    </row>
    <row r="4" spans="1:13">
      <c r="A4" s="2" t="s">
        <v>38</v>
      </c>
      <c r="B4" s="6" t="str">
        <f t="shared" si="0"/>
        <v>SecureTxByte2 Out</v>
      </c>
      <c r="C4" s="2" t="str">
        <f t="shared" si="1"/>
        <v>eSecureTxByte2Out</v>
      </c>
      <c r="D4" s="3" t="b">
        <v>1</v>
      </c>
      <c r="E4" s="2">
        <v>8</v>
      </c>
      <c r="F4" s="2" t="s">
        <v>86</v>
      </c>
      <c r="G4" s="2" t="s">
        <v>20</v>
      </c>
      <c r="H4" s="3" t="b">
        <v>0</v>
      </c>
      <c r="I4" s="2" t="s">
        <v>20</v>
      </c>
      <c r="J4" s="2" t="s">
        <v>27</v>
      </c>
      <c r="K4" s="2" t="s">
        <v>20</v>
      </c>
      <c r="L4" s="2" t="s">
        <v>20</v>
      </c>
      <c r="M4" s="2"/>
    </row>
    <row r="5" spans="1:13">
      <c r="A5" s="2" t="s">
        <v>39</v>
      </c>
      <c r="B5" s="6" t="str">
        <f t="shared" si="0"/>
        <v>SecureTxByte3 Out</v>
      </c>
      <c r="C5" s="2" t="str">
        <f t="shared" si="1"/>
        <v>eSecureTxByte3Out</v>
      </c>
      <c r="D5" s="3" t="b">
        <v>1</v>
      </c>
      <c r="E5" s="2">
        <v>8</v>
      </c>
      <c r="F5" s="2" t="s">
        <v>86</v>
      </c>
      <c r="G5" s="2" t="s">
        <v>20</v>
      </c>
      <c r="H5" s="3" t="b">
        <v>0</v>
      </c>
      <c r="I5" s="2" t="s">
        <v>20</v>
      </c>
      <c r="J5" s="2" t="s">
        <v>27</v>
      </c>
      <c r="K5" s="2" t="s">
        <v>20</v>
      </c>
      <c r="L5" s="2" t="s">
        <v>20</v>
      </c>
      <c r="M5" s="2"/>
    </row>
    <row r="6" spans="1:13">
      <c r="A6" s="2" t="s">
        <v>40</v>
      </c>
      <c r="B6" s="6" t="str">
        <f t="shared" si="0"/>
        <v>MAC_Tx Out</v>
      </c>
      <c r="C6" s="2" t="str">
        <f t="shared" si="1"/>
        <v>eMAC_TxOut</v>
      </c>
      <c r="D6" s="3" t="b">
        <v>1</v>
      </c>
      <c r="E6" s="2">
        <v>28</v>
      </c>
      <c r="F6" s="2" t="s">
        <v>86</v>
      </c>
      <c r="G6" s="2" t="s">
        <v>20</v>
      </c>
      <c r="H6" s="3" t="b">
        <v>0</v>
      </c>
      <c r="I6" s="2" t="s">
        <v>20</v>
      </c>
      <c r="J6" s="2" t="s">
        <v>27</v>
      </c>
      <c r="K6" s="2" t="s">
        <v>20</v>
      </c>
      <c r="L6" s="2" t="s">
        <v>20</v>
      </c>
      <c r="M6" s="2"/>
    </row>
    <row r="7" spans="1:13">
      <c r="A7" s="2" t="s">
        <v>41</v>
      </c>
      <c r="B7" s="6" t="str">
        <f t="shared" si="0"/>
        <v>FV_Tx Out</v>
      </c>
      <c r="C7" s="2" t="str">
        <f t="shared" si="1"/>
        <v>eFV_TxOut</v>
      </c>
      <c r="D7" s="3" t="b">
        <v>1</v>
      </c>
      <c r="E7" s="2">
        <v>4</v>
      </c>
      <c r="F7" s="2" t="s">
        <v>86</v>
      </c>
      <c r="G7" s="2" t="s">
        <v>20</v>
      </c>
      <c r="H7" s="3" t="b">
        <v>0</v>
      </c>
      <c r="I7" s="2" t="s">
        <v>20</v>
      </c>
      <c r="J7" s="2" t="s">
        <v>27</v>
      </c>
      <c r="K7" s="2" t="s">
        <v>20</v>
      </c>
      <c r="L7" s="2" t="s">
        <v>20</v>
      </c>
      <c r="M7" s="2"/>
    </row>
    <row r="8" spans="1:13">
      <c r="A8" s="2" t="s">
        <v>42</v>
      </c>
      <c r="B8" s="6" t="str">
        <f t="shared" si="0"/>
        <v>Battery_Voltage Out</v>
      </c>
      <c r="C8" s="2" t="str">
        <f t="shared" si="1"/>
        <v>eBattery_VoltageOut</v>
      </c>
      <c r="D8" s="3" t="b">
        <v>1</v>
      </c>
      <c r="E8" s="2">
        <v>8</v>
      </c>
      <c r="F8" s="2" t="s">
        <v>87</v>
      </c>
      <c r="G8" s="2" t="s">
        <v>20</v>
      </c>
      <c r="H8" s="3" t="b">
        <v>1</v>
      </c>
      <c r="I8" s="2" t="s">
        <v>20</v>
      </c>
      <c r="J8" s="2" t="s">
        <v>27</v>
      </c>
      <c r="K8" s="2" t="s">
        <v>20</v>
      </c>
      <c r="L8" s="2" t="s">
        <v>20</v>
      </c>
      <c r="M8" s="2"/>
    </row>
    <row r="9" spans="1:13">
      <c r="A9" s="2" t="s">
        <v>43</v>
      </c>
      <c r="B9" s="6" t="str">
        <f t="shared" si="0"/>
        <v>Odometer Out</v>
      </c>
      <c r="C9" s="2" t="str">
        <f t="shared" si="1"/>
        <v>eOdometerOut</v>
      </c>
      <c r="D9" s="3" t="b">
        <v>1</v>
      </c>
      <c r="E9" s="2">
        <v>32</v>
      </c>
      <c r="F9" s="2" t="s">
        <v>88</v>
      </c>
      <c r="G9" s="2" t="s">
        <v>20</v>
      </c>
      <c r="H9" s="3" t="b">
        <v>1</v>
      </c>
      <c r="I9" s="2" t="s">
        <v>20</v>
      </c>
      <c r="J9" s="2" t="s">
        <v>27</v>
      </c>
      <c r="K9" s="2" t="s">
        <v>20</v>
      </c>
      <c r="L9" s="2" t="s">
        <v>20</v>
      </c>
      <c r="M9" s="2"/>
    </row>
    <row r="10" spans="1:13">
      <c r="A10" s="2" t="s">
        <v>44</v>
      </c>
      <c r="B10" s="6" t="str">
        <f t="shared" si="0"/>
        <v>VehicleSpeedIC Out</v>
      </c>
      <c r="C10" s="2" t="str">
        <f t="shared" si="1"/>
        <v>eVehicleSpeedICOut</v>
      </c>
      <c r="D10" s="3" t="b">
        <v>1</v>
      </c>
      <c r="E10" s="2">
        <v>16</v>
      </c>
      <c r="F10" s="2" t="s">
        <v>89</v>
      </c>
      <c r="G10" s="2" t="s">
        <v>20</v>
      </c>
      <c r="H10" s="3" t="b">
        <v>1</v>
      </c>
      <c r="I10" s="2" t="s">
        <v>20</v>
      </c>
      <c r="J10" s="2" t="s">
        <v>27</v>
      </c>
      <c r="K10" s="2" t="s">
        <v>20</v>
      </c>
      <c r="L10" s="2" t="s">
        <v>20</v>
      </c>
      <c r="M10" s="2"/>
    </row>
    <row r="11" spans="1:13">
      <c r="A11" s="2" t="s">
        <v>45</v>
      </c>
      <c r="B11" s="6" t="str">
        <f t="shared" si="0"/>
        <v>Illumination_PWM Out</v>
      </c>
      <c r="C11" s="2" t="str">
        <f t="shared" si="1"/>
        <v>eIllumination_PWMOut</v>
      </c>
      <c r="D11" s="3" t="b">
        <v>1</v>
      </c>
      <c r="E11" s="2">
        <v>8</v>
      </c>
      <c r="F11" s="2" t="s">
        <v>90</v>
      </c>
      <c r="G11" s="2" t="s">
        <v>20</v>
      </c>
      <c r="H11" s="3" t="b">
        <v>1</v>
      </c>
      <c r="I11" s="2" t="s">
        <v>20</v>
      </c>
      <c r="J11" s="2" t="s">
        <v>27</v>
      </c>
      <c r="K11" s="2" t="s">
        <v>20</v>
      </c>
      <c r="L11" s="2" t="s">
        <v>20</v>
      </c>
      <c r="M11" s="2"/>
    </row>
    <row r="12" spans="1:13">
      <c r="A12" s="2" t="s">
        <v>46</v>
      </c>
      <c r="B12" s="6" t="str">
        <f t="shared" si="0"/>
        <v>Debug1_Byte0 Out</v>
      </c>
      <c r="C12" s="2" t="str">
        <f t="shared" si="1"/>
        <v>eDebug1_Byte0Out</v>
      </c>
      <c r="D12" s="3" t="b">
        <v>1</v>
      </c>
      <c r="E12" s="2">
        <v>8</v>
      </c>
      <c r="F12" s="2" t="s">
        <v>91</v>
      </c>
      <c r="G12" s="2" t="s">
        <v>20</v>
      </c>
      <c r="H12" s="3" t="b">
        <v>1</v>
      </c>
      <c r="I12" s="2" t="s">
        <v>20</v>
      </c>
      <c r="J12" s="2" t="s">
        <v>27</v>
      </c>
      <c r="K12" s="2" t="s">
        <v>20</v>
      </c>
      <c r="L12" s="2" t="s">
        <v>20</v>
      </c>
      <c r="M12" s="2"/>
    </row>
    <row r="13" spans="1:13">
      <c r="A13" s="2" t="s">
        <v>47</v>
      </c>
      <c r="B13" s="6" t="str">
        <f t="shared" si="0"/>
        <v>Debug1_Byte1 Out</v>
      </c>
      <c r="C13" s="2" t="str">
        <f t="shared" si="1"/>
        <v>eDebug1_Byte1Out</v>
      </c>
      <c r="D13" s="3" t="b">
        <v>1</v>
      </c>
      <c r="E13" s="2">
        <v>8</v>
      </c>
      <c r="F13" s="2" t="s">
        <v>91</v>
      </c>
      <c r="G13" s="2" t="s">
        <v>20</v>
      </c>
      <c r="H13" s="3" t="b">
        <v>0</v>
      </c>
      <c r="I13" s="2" t="s">
        <v>20</v>
      </c>
      <c r="J13" s="2" t="s">
        <v>27</v>
      </c>
      <c r="K13" s="2" t="s">
        <v>20</v>
      </c>
      <c r="L13" s="2" t="s">
        <v>20</v>
      </c>
      <c r="M13" s="2"/>
    </row>
    <row r="14" spans="1:13">
      <c r="A14" s="2" t="s">
        <v>48</v>
      </c>
      <c r="B14" s="6" t="str">
        <f t="shared" si="0"/>
        <v>Debug1_Byte2 Out</v>
      </c>
      <c r="C14" s="2" t="str">
        <f t="shared" si="1"/>
        <v>eDebug1_Byte2Out</v>
      </c>
      <c r="D14" s="3" t="b">
        <v>1</v>
      </c>
      <c r="E14" s="2">
        <v>8</v>
      </c>
      <c r="F14" s="2" t="s">
        <v>91</v>
      </c>
      <c r="G14" s="2" t="s">
        <v>20</v>
      </c>
      <c r="H14" s="3" t="b">
        <v>0</v>
      </c>
      <c r="I14" s="2" t="s">
        <v>20</v>
      </c>
      <c r="J14" s="2" t="s">
        <v>27</v>
      </c>
      <c r="K14" s="2" t="s">
        <v>20</v>
      </c>
      <c r="L14" s="2" t="s">
        <v>20</v>
      </c>
      <c r="M14" s="2"/>
    </row>
    <row r="15" spans="1:13">
      <c r="A15" s="2" t="s">
        <v>49</v>
      </c>
      <c r="B15" s="6" t="str">
        <f t="shared" si="0"/>
        <v>Debug1_Byte3 Out</v>
      </c>
      <c r="C15" s="2" t="str">
        <f t="shared" si="1"/>
        <v>eDebug1_Byte3Out</v>
      </c>
      <c r="D15" s="3" t="b">
        <v>1</v>
      </c>
      <c r="E15" s="2">
        <v>8</v>
      </c>
      <c r="F15" s="2" t="s">
        <v>91</v>
      </c>
      <c r="G15" s="2" t="s">
        <v>20</v>
      </c>
      <c r="H15" s="3" t="b">
        <v>0</v>
      </c>
      <c r="I15" s="2" t="s">
        <v>20</v>
      </c>
      <c r="J15" s="2" t="s">
        <v>27</v>
      </c>
      <c r="K15" s="2" t="s">
        <v>20</v>
      </c>
      <c r="L15" s="2" t="s">
        <v>20</v>
      </c>
      <c r="M15" s="2"/>
    </row>
    <row r="16" spans="1:13">
      <c r="A16" s="2" t="s">
        <v>50</v>
      </c>
      <c r="B16" s="6" t="str">
        <f t="shared" si="0"/>
        <v>Debug1_Byte4 Out</v>
      </c>
      <c r="C16" s="2" t="str">
        <f t="shared" si="1"/>
        <v>eDebug1_Byte4Out</v>
      </c>
      <c r="D16" s="3" t="b">
        <v>1</v>
      </c>
      <c r="E16" s="2">
        <v>8</v>
      </c>
      <c r="F16" s="2" t="s">
        <v>91</v>
      </c>
      <c r="G16" s="2" t="s">
        <v>20</v>
      </c>
      <c r="H16" s="3" t="b">
        <v>0</v>
      </c>
      <c r="I16" s="2" t="s">
        <v>20</v>
      </c>
      <c r="J16" s="2" t="s">
        <v>27</v>
      </c>
      <c r="K16" s="2" t="s">
        <v>20</v>
      </c>
      <c r="L16" s="2" t="s">
        <v>20</v>
      </c>
      <c r="M16" s="2"/>
    </row>
    <row r="17" spans="1:13">
      <c r="A17" s="2" t="s">
        <v>51</v>
      </c>
      <c r="B17" s="6" t="str">
        <f t="shared" si="0"/>
        <v>Debug1_Byte5 Out</v>
      </c>
      <c r="C17" s="2" t="str">
        <f t="shared" si="1"/>
        <v>eDebug1_Byte5Out</v>
      </c>
      <c r="D17" s="3" t="b">
        <v>1</v>
      </c>
      <c r="E17" s="2">
        <v>8</v>
      </c>
      <c r="F17" s="2" t="s">
        <v>91</v>
      </c>
      <c r="G17" s="2" t="s">
        <v>20</v>
      </c>
      <c r="H17" s="3" t="b">
        <v>0</v>
      </c>
      <c r="I17" s="2" t="s">
        <v>20</v>
      </c>
      <c r="J17" s="2" t="s">
        <v>27</v>
      </c>
      <c r="K17" s="2" t="s">
        <v>20</v>
      </c>
      <c r="L17" s="2" t="s">
        <v>20</v>
      </c>
      <c r="M17" s="2"/>
    </row>
    <row r="18" spans="1:13">
      <c r="A18" s="2" t="s">
        <v>52</v>
      </c>
      <c r="B18" s="6" t="str">
        <f t="shared" si="0"/>
        <v>Debug1_Byte6 Out</v>
      </c>
      <c r="C18" s="2" t="str">
        <f t="shared" si="1"/>
        <v>eDebug1_Byte6Out</v>
      </c>
      <c r="D18" s="3" t="b">
        <v>1</v>
      </c>
      <c r="E18" s="2">
        <v>8</v>
      </c>
      <c r="F18" s="2" t="s">
        <v>91</v>
      </c>
      <c r="G18" s="2" t="s">
        <v>20</v>
      </c>
      <c r="H18" s="3" t="b">
        <v>0</v>
      </c>
      <c r="I18" s="2" t="s">
        <v>20</v>
      </c>
      <c r="J18" s="2" t="s">
        <v>27</v>
      </c>
      <c r="K18" s="2" t="s">
        <v>20</v>
      </c>
      <c r="L18" s="2" t="s">
        <v>20</v>
      </c>
      <c r="M18" s="2"/>
    </row>
    <row r="19" spans="1:13">
      <c r="A19" s="2" t="s">
        <v>53</v>
      </c>
      <c r="B19" s="6" t="str">
        <f t="shared" si="0"/>
        <v>Debug1_Byte7 Out</v>
      </c>
      <c r="C19" s="2" t="str">
        <f t="shared" si="1"/>
        <v>eDebug1_Byte7Out</v>
      </c>
      <c r="D19" s="3" t="b">
        <v>1</v>
      </c>
      <c r="E19" s="2">
        <v>8</v>
      </c>
      <c r="F19" s="2" t="s">
        <v>91</v>
      </c>
      <c r="G19" s="2" t="s">
        <v>20</v>
      </c>
      <c r="H19" s="3" t="b">
        <v>0</v>
      </c>
      <c r="I19" s="2" t="s">
        <v>20</v>
      </c>
      <c r="J19" s="2" t="s">
        <v>27</v>
      </c>
      <c r="K19" s="2" t="s">
        <v>20</v>
      </c>
      <c r="L19" s="2" t="s">
        <v>20</v>
      </c>
      <c r="M19" s="2"/>
    </row>
    <row r="20" spans="1:13">
      <c r="A20" s="2" t="s">
        <v>54</v>
      </c>
      <c r="B20" s="6" t="str">
        <f t="shared" si="0"/>
        <v>Debug2_Byte0 Out</v>
      </c>
      <c r="C20" s="2" t="str">
        <f t="shared" si="1"/>
        <v>eDebug2_Byte0Out</v>
      </c>
      <c r="D20" s="3" t="b">
        <v>1</v>
      </c>
      <c r="E20" s="2">
        <v>8</v>
      </c>
      <c r="F20" s="2" t="s">
        <v>92</v>
      </c>
      <c r="G20" s="2" t="s">
        <v>20</v>
      </c>
      <c r="H20" s="3" t="b">
        <v>1</v>
      </c>
      <c r="I20" s="2" t="s">
        <v>20</v>
      </c>
      <c r="J20" s="2" t="s">
        <v>27</v>
      </c>
      <c r="K20" s="2" t="s">
        <v>20</v>
      </c>
      <c r="L20" s="2" t="s">
        <v>20</v>
      </c>
      <c r="M20" s="2"/>
    </row>
    <row r="21" spans="1:13">
      <c r="A21" s="2" t="s">
        <v>55</v>
      </c>
      <c r="B21" s="6" t="str">
        <f t="shared" si="0"/>
        <v>Debug2_Byte1 Out</v>
      </c>
      <c r="C21" s="2" t="str">
        <f t="shared" si="1"/>
        <v>eDebug2_Byte1Out</v>
      </c>
      <c r="D21" s="3" t="b">
        <v>1</v>
      </c>
      <c r="E21" s="2">
        <v>8</v>
      </c>
      <c r="F21" s="2" t="s">
        <v>92</v>
      </c>
      <c r="G21" s="2" t="s">
        <v>20</v>
      </c>
      <c r="H21" s="3" t="b">
        <v>0</v>
      </c>
      <c r="I21" s="2" t="s">
        <v>20</v>
      </c>
      <c r="J21" s="2" t="s">
        <v>27</v>
      </c>
      <c r="K21" s="2" t="s">
        <v>20</v>
      </c>
      <c r="L21" s="2" t="s">
        <v>20</v>
      </c>
      <c r="M21" s="2"/>
    </row>
    <row r="22" spans="1:13">
      <c r="A22" s="2" t="s">
        <v>56</v>
      </c>
      <c r="B22" s="6" t="str">
        <f t="shared" si="0"/>
        <v>Debug2_Byte2 Out</v>
      </c>
      <c r="C22" s="2" t="str">
        <f t="shared" si="1"/>
        <v>eDebug2_Byte2Out</v>
      </c>
      <c r="D22" s="3" t="b">
        <v>1</v>
      </c>
      <c r="E22" s="2">
        <v>8</v>
      </c>
      <c r="F22" s="2" t="s">
        <v>92</v>
      </c>
      <c r="G22" s="2" t="s">
        <v>20</v>
      </c>
      <c r="H22" s="3" t="b">
        <v>0</v>
      </c>
      <c r="I22" s="2" t="s">
        <v>20</v>
      </c>
      <c r="J22" s="2" t="s">
        <v>27</v>
      </c>
      <c r="K22" s="2" t="s">
        <v>20</v>
      </c>
      <c r="L22" s="2" t="s">
        <v>20</v>
      </c>
      <c r="M22" s="2"/>
    </row>
    <row r="23" spans="1:13">
      <c r="A23" s="2" t="s">
        <v>57</v>
      </c>
      <c r="B23" s="6" t="str">
        <f t="shared" si="0"/>
        <v>Debug2_Byte3 Out</v>
      </c>
      <c r="C23" s="2" t="str">
        <f t="shared" si="1"/>
        <v>eDebug2_Byte3Out</v>
      </c>
      <c r="D23" s="3" t="b">
        <v>1</v>
      </c>
      <c r="E23" s="2">
        <v>8</v>
      </c>
      <c r="F23" s="2" t="s">
        <v>92</v>
      </c>
      <c r="G23" s="2" t="s">
        <v>20</v>
      </c>
      <c r="H23" s="3" t="b">
        <v>0</v>
      </c>
      <c r="I23" s="2" t="s">
        <v>20</v>
      </c>
      <c r="J23" s="2" t="s">
        <v>27</v>
      </c>
      <c r="K23" s="2" t="s">
        <v>20</v>
      </c>
      <c r="L23" s="2" t="s">
        <v>20</v>
      </c>
      <c r="M23" s="2"/>
    </row>
    <row r="24" spans="1:13">
      <c r="A24" s="2" t="s">
        <v>58</v>
      </c>
      <c r="B24" s="6" t="str">
        <f t="shared" si="0"/>
        <v>Debug2_Byte4 Out</v>
      </c>
      <c r="C24" s="2" t="str">
        <f t="shared" si="1"/>
        <v>eDebug2_Byte4Out</v>
      </c>
      <c r="D24" s="3" t="b">
        <v>1</v>
      </c>
      <c r="E24" s="2">
        <v>8</v>
      </c>
      <c r="F24" s="2" t="s">
        <v>92</v>
      </c>
      <c r="G24" s="2" t="s">
        <v>20</v>
      </c>
      <c r="H24" s="3" t="b">
        <v>0</v>
      </c>
      <c r="I24" s="2" t="s">
        <v>20</v>
      </c>
      <c r="J24" s="2" t="s">
        <v>27</v>
      </c>
      <c r="K24" s="2" t="s">
        <v>20</v>
      </c>
      <c r="L24" s="2" t="s">
        <v>20</v>
      </c>
      <c r="M24" s="2"/>
    </row>
    <row r="25" spans="1:13">
      <c r="A25" s="2" t="s">
        <v>59</v>
      </c>
      <c r="B25" s="6" t="str">
        <f t="shared" si="0"/>
        <v>Debug2_Byte5 Out</v>
      </c>
      <c r="C25" s="2" t="str">
        <f t="shared" si="1"/>
        <v>eDebug2_Byte5Out</v>
      </c>
      <c r="D25" s="3" t="b">
        <v>1</v>
      </c>
      <c r="E25" s="2">
        <v>8</v>
      </c>
      <c r="F25" s="2" t="s">
        <v>92</v>
      </c>
      <c r="G25" s="2" t="s">
        <v>20</v>
      </c>
      <c r="H25" s="3" t="b">
        <v>0</v>
      </c>
      <c r="I25" s="2" t="s">
        <v>20</v>
      </c>
      <c r="J25" s="2" t="s">
        <v>27</v>
      </c>
      <c r="K25" s="2" t="s">
        <v>20</v>
      </c>
      <c r="L25" s="2" t="s">
        <v>20</v>
      </c>
      <c r="M25" s="2"/>
    </row>
    <row r="26" spans="1:13">
      <c r="A26" s="2" t="s">
        <v>60</v>
      </c>
      <c r="B26" s="6" t="str">
        <f t="shared" si="0"/>
        <v>Debug2_Byte6 Out</v>
      </c>
      <c r="C26" s="2" t="str">
        <f t="shared" si="1"/>
        <v>eDebug2_Byte6Out</v>
      </c>
      <c r="D26" s="3" t="b">
        <v>1</v>
      </c>
      <c r="E26" s="2">
        <v>8</v>
      </c>
      <c r="F26" s="2" t="s">
        <v>92</v>
      </c>
      <c r="G26" s="2" t="s">
        <v>20</v>
      </c>
      <c r="H26" s="3" t="b">
        <v>0</v>
      </c>
      <c r="I26" s="2" t="s">
        <v>20</v>
      </c>
      <c r="J26" s="2" t="s">
        <v>27</v>
      </c>
      <c r="K26" s="2" t="s">
        <v>20</v>
      </c>
      <c r="L26" s="2" t="s">
        <v>20</v>
      </c>
      <c r="M26" s="2"/>
    </row>
    <row r="27" spans="1:13">
      <c r="A27" s="2" t="s">
        <v>61</v>
      </c>
      <c r="B27" s="6" t="str">
        <f t="shared" si="0"/>
        <v>Debug2_Byte7 Out</v>
      </c>
      <c r="C27" s="2" t="str">
        <f t="shared" si="1"/>
        <v>eDebug2_Byte7Out</v>
      </c>
      <c r="D27" s="3" t="b">
        <v>1</v>
      </c>
      <c r="E27" s="2">
        <v>8</v>
      </c>
      <c r="F27" s="2" t="s">
        <v>92</v>
      </c>
      <c r="G27" s="2" t="s">
        <v>20</v>
      </c>
      <c r="H27" s="3" t="b">
        <v>0</v>
      </c>
      <c r="I27" s="2" t="s">
        <v>20</v>
      </c>
      <c r="J27" s="2" t="s">
        <v>27</v>
      </c>
      <c r="K27" s="2" t="s">
        <v>20</v>
      </c>
      <c r="L27" s="2" t="s">
        <v>20</v>
      </c>
      <c r="M27" s="2"/>
    </row>
    <row r="28" spans="1:13">
      <c r="A28" s="2" t="s">
        <v>62</v>
      </c>
      <c r="B28" s="6" t="str">
        <f t="shared" si="0"/>
        <v>Debug3_Byte0 Out</v>
      </c>
      <c r="C28" s="2" t="str">
        <f t="shared" si="1"/>
        <v>eDebug3_Byte0Out</v>
      </c>
      <c r="D28" s="3" t="b">
        <v>1</v>
      </c>
      <c r="E28" s="2">
        <v>8</v>
      </c>
      <c r="F28" s="2" t="s">
        <v>93</v>
      </c>
      <c r="G28" s="2" t="s">
        <v>20</v>
      </c>
      <c r="H28" s="3" t="b">
        <v>1</v>
      </c>
      <c r="I28" s="2" t="s">
        <v>20</v>
      </c>
      <c r="J28" s="2" t="s">
        <v>27</v>
      </c>
      <c r="K28" s="2" t="s">
        <v>20</v>
      </c>
      <c r="L28" s="2" t="s">
        <v>20</v>
      </c>
      <c r="M28" s="2"/>
    </row>
    <row r="29" spans="1:13">
      <c r="A29" s="2" t="s">
        <v>63</v>
      </c>
      <c r="B29" s="6" t="str">
        <f t="shared" si="0"/>
        <v>Debug3_Byte1 Out</v>
      </c>
      <c r="C29" s="2" t="str">
        <f t="shared" si="1"/>
        <v>eDebug3_Byte1Out</v>
      </c>
      <c r="D29" s="3" t="b">
        <v>1</v>
      </c>
      <c r="E29" s="2">
        <v>8</v>
      </c>
      <c r="F29" s="2" t="s">
        <v>93</v>
      </c>
      <c r="G29" s="2" t="s">
        <v>20</v>
      </c>
      <c r="H29" s="3" t="b">
        <v>0</v>
      </c>
      <c r="I29" s="2" t="s">
        <v>20</v>
      </c>
      <c r="J29" s="2" t="s">
        <v>27</v>
      </c>
      <c r="K29" s="2" t="s">
        <v>20</v>
      </c>
      <c r="L29" s="2" t="s">
        <v>20</v>
      </c>
      <c r="M29" s="2"/>
    </row>
    <row r="30" spans="1:13">
      <c r="A30" s="2" t="s">
        <v>64</v>
      </c>
      <c r="B30" s="6" t="str">
        <f t="shared" si="0"/>
        <v>Debug3_Byte2 Out</v>
      </c>
      <c r="C30" s="2" t="str">
        <f t="shared" si="1"/>
        <v>eDebug3_Byte2Out</v>
      </c>
      <c r="D30" s="3" t="b">
        <v>1</v>
      </c>
      <c r="E30" s="2">
        <v>8</v>
      </c>
      <c r="F30" s="2" t="s">
        <v>93</v>
      </c>
      <c r="G30" s="2" t="s">
        <v>20</v>
      </c>
      <c r="H30" s="3" t="b">
        <v>0</v>
      </c>
      <c r="I30" s="2" t="s">
        <v>20</v>
      </c>
      <c r="J30" s="2" t="s">
        <v>27</v>
      </c>
      <c r="K30" s="2" t="s">
        <v>20</v>
      </c>
      <c r="L30" s="2" t="s">
        <v>20</v>
      </c>
      <c r="M30" s="2"/>
    </row>
    <row r="31" spans="1:13">
      <c r="A31" s="2" t="s">
        <v>65</v>
      </c>
      <c r="B31" s="6" t="str">
        <f t="shared" si="0"/>
        <v>Debug3_Byte3 Out</v>
      </c>
      <c r="C31" s="2" t="str">
        <f t="shared" si="1"/>
        <v>eDebug3_Byte3Out</v>
      </c>
      <c r="D31" s="3" t="b">
        <v>1</v>
      </c>
      <c r="E31" s="2">
        <v>8</v>
      </c>
      <c r="F31" s="2" t="s">
        <v>93</v>
      </c>
      <c r="G31" s="2" t="s">
        <v>20</v>
      </c>
      <c r="H31" s="3" t="b">
        <v>0</v>
      </c>
      <c r="I31" s="2" t="s">
        <v>20</v>
      </c>
      <c r="J31" s="2" t="s">
        <v>27</v>
      </c>
      <c r="K31" s="2" t="s">
        <v>20</v>
      </c>
      <c r="L31" s="2" t="s">
        <v>20</v>
      </c>
      <c r="M31" s="2"/>
    </row>
    <row r="32" spans="1:13">
      <c r="A32" s="2" t="s">
        <v>66</v>
      </c>
      <c r="B32" s="6" t="str">
        <f t="shared" si="0"/>
        <v>Debug3_Byte4 Out</v>
      </c>
      <c r="C32" s="2" t="str">
        <f t="shared" si="1"/>
        <v>eDebug3_Byte4Out</v>
      </c>
      <c r="D32" s="3" t="b">
        <v>1</v>
      </c>
      <c r="E32" s="2">
        <v>8</v>
      </c>
      <c r="F32" s="2" t="s">
        <v>93</v>
      </c>
      <c r="G32" s="2" t="s">
        <v>20</v>
      </c>
      <c r="H32" s="3" t="b">
        <v>0</v>
      </c>
      <c r="I32" s="2" t="s">
        <v>20</v>
      </c>
      <c r="J32" s="2" t="s">
        <v>27</v>
      </c>
      <c r="K32" s="2" t="s">
        <v>20</v>
      </c>
      <c r="L32" s="2" t="s">
        <v>20</v>
      </c>
      <c r="M32" s="2"/>
    </row>
    <row r="33" spans="1:12">
      <c r="A33" s="2" t="s">
        <v>67</v>
      </c>
      <c r="B33" s="6" t="str">
        <f t="shared" si="0"/>
        <v>Debug3_Byte5 Out</v>
      </c>
      <c r="C33" s="2" t="str">
        <f t="shared" si="1"/>
        <v>eDebug3_Byte5Out</v>
      </c>
      <c r="D33" s="3" t="b">
        <v>1</v>
      </c>
      <c r="E33" s="2">
        <v>8</v>
      </c>
      <c r="F33" s="2" t="s">
        <v>93</v>
      </c>
      <c r="G33" s="2" t="s">
        <v>20</v>
      </c>
      <c r="H33" s="3" t="b">
        <v>0</v>
      </c>
      <c r="I33" s="2" t="s">
        <v>20</v>
      </c>
      <c r="J33" s="2" t="s">
        <v>27</v>
      </c>
      <c r="K33" s="2" t="s">
        <v>20</v>
      </c>
      <c r="L33" s="2" t="s">
        <v>20</v>
      </c>
    </row>
    <row r="34" spans="1:12">
      <c r="A34" s="2" t="s">
        <v>68</v>
      </c>
      <c r="B34" s="6" t="str">
        <f t="shared" si="0"/>
        <v>Debug3_Byte6 Out</v>
      </c>
      <c r="C34" s="2" t="str">
        <f t="shared" si="1"/>
        <v>eDebug3_Byte6Out</v>
      </c>
      <c r="D34" s="3" t="b">
        <v>1</v>
      </c>
      <c r="E34" s="2">
        <v>8</v>
      </c>
      <c r="F34" s="2" t="s">
        <v>93</v>
      </c>
      <c r="G34" s="2" t="s">
        <v>20</v>
      </c>
      <c r="H34" s="3" t="b">
        <v>0</v>
      </c>
      <c r="I34" s="2" t="s">
        <v>20</v>
      </c>
      <c r="J34" s="2" t="s">
        <v>27</v>
      </c>
      <c r="K34" s="2" t="s">
        <v>20</v>
      </c>
      <c r="L34" s="2" t="s">
        <v>20</v>
      </c>
    </row>
    <row r="35" spans="1:12">
      <c r="A35" s="2" t="s">
        <v>69</v>
      </c>
      <c r="B35" s="6" t="str">
        <f t="shared" si="0"/>
        <v>Debug3_Byte7 Out</v>
      </c>
      <c r="C35" s="2" t="str">
        <f t="shared" si="1"/>
        <v>eDebug3_Byte7Out</v>
      </c>
      <c r="D35" s="3" t="b">
        <v>1</v>
      </c>
      <c r="E35" s="2">
        <v>8</v>
      </c>
      <c r="F35" s="2" t="s">
        <v>93</v>
      </c>
      <c r="G35" s="2" t="s">
        <v>20</v>
      </c>
      <c r="H35" s="3" t="b">
        <v>0</v>
      </c>
      <c r="I35" s="2" t="s">
        <v>20</v>
      </c>
      <c r="J35" s="2" t="s">
        <v>27</v>
      </c>
      <c r="K35" s="2" t="s">
        <v>20</v>
      </c>
      <c r="L35" s="2" t="s">
        <v>20</v>
      </c>
    </row>
    <row r="36" spans="1:12">
      <c r="A36" s="2" t="s">
        <v>70</v>
      </c>
      <c r="B36" s="6" t="str">
        <f t="shared" si="0"/>
        <v>Debug4_Byte0 Out</v>
      </c>
      <c r="C36" s="2" t="str">
        <f t="shared" si="1"/>
        <v>eDebug4_Byte0Out</v>
      </c>
      <c r="D36" s="3" t="b">
        <v>1</v>
      </c>
      <c r="E36" s="2">
        <v>8</v>
      </c>
      <c r="F36" s="2" t="s">
        <v>94</v>
      </c>
      <c r="G36" s="2" t="s">
        <v>20</v>
      </c>
      <c r="H36" s="3" t="b">
        <v>1</v>
      </c>
      <c r="I36" s="2" t="s">
        <v>20</v>
      </c>
      <c r="J36" s="2" t="s">
        <v>27</v>
      </c>
      <c r="K36" s="2" t="s">
        <v>20</v>
      </c>
      <c r="L36" s="2" t="s">
        <v>20</v>
      </c>
    </row>
    <row r="37" spans="1:12">
      <c r="A37" s="2" t="s">
        <v>71</v>
      </c>
      <c r="B37" s="6" t="str">
        <f t="shared" si="0"/>
        <v>Debug4_Byte1 Out</v>
      </c>
      <c r="C37" s="2" t="str">
        <f t="shared" si="1"/>
        <v>eDebug4_Byte1Out</v>
      </c>
      <c r="D37" s="3" t="b">
        <v>1</v>
      </c>
      <c r="E37" s="2">
        <v>8</v>
      </c>
      <c r="F37" s="2" t="s">
        <v>94</v>
      </c>
      <c r="G37" s="2" t="s">
        <v>20</v>
      </c>
      <c r="H37" s="3" t="b">
        <v>0</v>
      </c>
      <c r="I37" s="2" t="s">
        <v>20</v>
      </c>
      <c r="J37" s="2" t="s">
        <v>27</v>
      </c>
      <c r="K37" s="2" t="s">
        <v>20</v>
      </c>
      <c r="L37" s="2" t="s">
        <v>20</v>
      </c>
    </row>
    <row r="38" spans="1:12">
      <c r="A38" s="2" t="s">
        <v>72</v>
      </c>
      <c r="B38" s="6" t="str">
        <f t="shared" si="0"/>
        <v>Debug4_Byte2 Out</v>
      </c>
      <c r="C38" s="2" t="str">
        <f t="shared" si="1"/>
        <v>eDebug4_Byte2Out</v>
      </c>
      <c r="D38" s="3" t="b">
        <v>1</v>
      </c>
      <c r="E38" s="2">
        <v>8</v>
      </c>
      <c r="F38" s="2" t="s">
        <v>94</v>
      </c>
      <c r="G38" s="2" t="s">
        <v>20</v>
      </c>
      <c r="H38" s="3" t="b">
        <v>0</v>
      </c>
      <c r="I38" s="2" t="s">
        <v>20</v>
      </c>
      <c r="J38" s="2" t="s">
        <v>27</v>
      </c>
      <c r="K38" s="2" t="s">
        <v>20</v>
      </c>
      <c r="L38" s="2" t="s">
        <v>20</v>
      </c>
    </row>
    <row r="39" spans="1:12">
      <c r="A39" s="2" t="s">
        <v>73</v>
      </c>
      <c r="B39" s="6" t="str">
        <f t="shared" si="0"/>
        <v>Debug4_Byte3 Out</v>
      </c>
      <c r="C39" s="2" t="str">
        <f t="shared" si="1"/>
        <v>eDebug4_Byte3Out</v>
      </c>
      <c r="D39" s="3" t="b">
        <v>1</v>
      </c>
      <c r="E39" s="2">
        <v>8</v>
      </c>
      <c r="F39" s="2" t="s">
        <v>94</v>
      </c>
      <c r="G39" s="2" t="s">
        <v>20</v>
      </c>
      <c r="H39" s="3" t="b">
        <v>0</v>
      </c>
      <c r="I39" s="2" t="s">
        <v>20</v>
      </c>
      <c r="J39" s="2" t="s">
        <v>27</v>
      </c>
      <c r="K39" s="2" t="s">
        <v>20</v>
      </c>
      <c r="L39" s="2" t="s">
        <v>20</v>
      </c>
    </row>
    <row r="40" spans="1:12">
      <c r="A40" s="2" t="s">
        <v>74</v>
      </c>
      <c r="B40" s="6" t="str">
        <f t="shared" si="0"/>
        <v>Debug4_Byte4 Out</v>
      </c>
      <c r="C40" s="2" t="str">
        <f t="shared" si="1"/>
        <v>eDebug4_Byte4Out</v>
      </c>
      <c r="D40" s="3" t="b">
        <v>1</v>
      </c>
      <c r="E40" s="2">
        <v>8</v>
      </c>
      <c r="F40" s="2" t="s">
        <v>94</v>
      </c>
      <c r="G40" s="2" t="s">
        <v>20</v>
      </c>
      <c r="H40" s="3" t="b">
        <v>0</v>
      </c>
      <c r="I40" s="2" t="s">
        <v>20</v>
      </c>
      <c r="J40" s="2" t="s">
        <v>27</v>
      </c>
      <c r="K40" s="2" t="s">
        <v>20</v>
      </c>
      <c r="L40" s="2" t="s">
        <v>20</v>
      </c>
    </row>
    <row r="41" spans="1:12">
      <c r="A41" s="2" t="s">
        <v>75</v>
      </c>
      <c r="B41" s="6" t="str">
        <f t="shared" si="0"/>
        <v>Debug4_Byte5 Out</v>
      </c>
      <c r="C41" s="2" t="str">
        <f t="shared" si="1"/>
        <v>eDebug4_Byte5Out</v>
      </c>
      <c r="D41" s="3" t="b">
        <v>1</v>
      </c>
      <c r="E41" s="2">
        <v>8</v>
      </c>
      <c r="F41" s="2" t="s">
        <v>94</v>
      </c>
      <c r="G41" s="2" t="s">
        <v>20</v>
      </c>
      <c r="H41" s="3" t="b">
        <v>0</v>
      </c>
      <c r="I41" s="2" t="s">
        <v>20</v>
      </c>
      <c r="J41" s="2" t="s">
        <v>27</v>
      </c>
      <c r="K41" s="2" t="s">
        <v>20</v>
      </c>
      <c r="L41" s="2" t="s">
        <v>20</v>
      </c>
    </row>
    <row r="42" spans="1:12">
      <c r="A42" s="2" t="s">
        <v>76</v>
      </c>
      <c r="B42" s="6" t="str">
        <f t="shared" si="0"/>
        <v>Debug4_Byte6 Out</v>
      </c>
      <c r="C42" s="2" t="str">
        <f t="shared" si="1"/>
        <v>eDebug4_Byte6Out</v>
      </c>
      <c r="D42" s="3" t="b">
        <v>1</v>
      </c>
      <c r="E42" s="2">
        <v>8</v>
      </c>
      <c r="F42" s="2" t="s">
        <v>94</v>
      </c>
      <c r="G42" s="2" t="s">
        <v>20</v>
      </c>
      <c r="H42" s="3" t="b">
        <v>0</v>
      </c>
      <c r="I42" s="2" t="s">
        <v>20</v>
      </c>
      <c r="J42" s="2" t="s">
        <v>27</v>
      </c>
      <c r="K42" s="2" t="s">
        <v>20</v>
      </c>
      <c r="L42" s="2" t="s">
        <v>20</v>
      </c>
    </row>
    <row r="43" spans="1:12">
      <c r="A43" s="2" t="s">
        <v>77</v>
      </c>
      <c r="B43" s="6" t="str">
        <f t="shared" si="0"/>
        <v>Debug4_Byte7 Out</v>
      </c>
      <c r="C43" s="2" t="str">
        <f t="shared" si="1"/>
        <v>eDebug4_Byte7Out</v>
      </c>
      <c r="D43" s="3" t="b">
        <v>1</v>
      </c>
      <c r="E43" s="2">
        <v>8</v>
      </c>
      <c r="F43" s="2" t="s">
        <v>94</v>
      </c>
      <c r="G43" s="2" t="s">
        <v>20</v>
      </c>
      <c r="H43" s="3" t="b">
        <v>0</v>
      </c>
      <c r="I43" s="2" t="s">
        <v>20</v>
      </c>
      <c r="J43" s="2" t="s">
        <v>27</v>
      </c>
      <c r="K43" s="2" t="s">
        <v>20</v>
      </c>
      <c r="L43" s="2" t="s">
        <v>20</v>
      </c>
    </row>
    <row r="44" spans="1:12">
      <c r="A44" s="2" t="s">
        <v>78</v>
      </c>
      <c r="B44" s="6" t="str">
        <f t="shared" si="0"/>
        <v>Debug5_Byte0 Out</v>
      </c>
      <c r="C44" s="2" t="str">
        <f t="shared" si="1"/>
        <v>eDebug5_Byte0Out</v>
      </c>
      <c r="D44" s="3" t="b">
        <v>1</v>
      </c>
      <c r="E44" s="2">
        <v>8</v>
      </c>
      <c r="F44" s="2" t="s">
        <v>95</v>
      </c>
      <c r="G44" s="2" t="s">
        <v>20</v>
      </c>
      <c r="H44" s="3" t="b">
        <v>1</v>
      </c>
      <c r="I44" s="2" t="s">
        <v>20</v>
      </c>
      <c r="J44" s="2" t="s">
        <v>27</v>
      </c>
      <c r="K44" s="2" t="s">
        <v>20</v>
      </c>
      <c r="L44" s="2" t="s">
        <v>20</v>
      </c>
    </row>
    <row r="45" spans="1:12">
      <c r="A45" s="2" t="s">
        <v>79</v>
      </c>
      <c r="B45" s="6" t="str">
        <f t="shared" si="0"/>
        <v>Debug5_Byte1 Out</v>
      </c>
      <c r="C45" s="2" t="str">
        <f t="shared" si="1"/>
        <v>eDebug5_Byte1Out</v>
      </c>
      <c r="D45" s="3" t="b">
        <v>1</v>
      </c>
      <c r="E45" s="2">
        <v>8</v>
      </c>
      <c r="F45" s="2" t="s">
        <v>95</v>
      </c>
      <c r="G45" s="2" t="s">
        <v>20</v>
      </c>
      <c r="H45" s="3" t="b">
        <v>0</v>
      </c>
      <c r="I45" s="2" t="s">
        <v>20</v>
      </c>
      <c r="J45" s="2" t="s">
        <v>27</v>
      </c>
      <c r="K45" s="2" t="s">
        <v>20</v>
      </c>
      <c r="L45" s="2" t="s">
        <v>20</v>
      </c>
    </row>
    <row r="46" spans="1:12">
      <c r="A46" s="2" t="s">
        <v>80</v>
      </c>
      <c r="B46" s="6" t="str">
        <f t="shared" si="0"/>
        <v>Debug5_Byte2 Out</v>
      </c>
      <c r="C46" s="2" t="str">
        <f t="shared" si="1"/>
        <v>eDebug5_Byte2Out</v>
      </c>
      <c r="D46" s="3" t="b">
        <v>1</v>
      </c>
      <c r="E46" s="2">
        <v>8</v>
      </c>
      <c r="F46" s="2" t="s">
        <v>95</v>
      </c>
      <c r="G46" s="2" t="s">
        <v>20</v>
      </c>
      <c r="H46" s="3" t="b">
        <v>0</v>
      </c>
      <c r="I46" s="2" t="s">
        <v>20</v>
      </c>
      <c r="J46" s="2" t="s">
        <v>27</v>
      </c>
      <c r="K46" s="2" t="s">
        <v>20</v>
      </c>
      <c r="L46" s="2" t="s">
        <v>20</v>
      </c>
    </row>
    <row r="47" spans="1:12">
      <c r="A47" s="2" t="s">
        <v>81</v>
      </c>
      <c r="B47" s="6" t="str">
        <f t="shared" si="0"/>
        <v>Debug5_Byte3 Out</v>
      </c>
      <c r="C47" s="2" t="str">
        <f t="shared" si="1"/>
        <v>eDebug5_Byte3Out</v>
      </c>
      <c r="D47" s="3" t="b">
        <v>1</v>
      </c>
      <c r="E47" s="2">
        <v>8</v>
      </c>
      <c r="F47" s="2" t="s">
        <v>95</v>
      </c>
      <c r="G47" s="2" t="s">
        <v>20</v>
      </c>
      <c r="H47" s="3" t="b">
        <v>0</v>
      </c>
      <c r="I47" s="2" t="s">
        <v>20</v>
      </c>
      <c r="J47" s="2" t="s">
        <v>27</v>
      </c>
      <c r="K47" s="2" t="s">
        <v>20</v>
      </c>
      <c r="L47" s="2" t="s">
        <v>20</v>
      </c>
    </row>
    <row r="48" spans="1:12">
      <c r="A48" s="2" t="s">
        <v>82</v>
      </c>
      <c r="B48" s="6" t="str">
        <f t="shared" si="0"/>
        <v>Debug5_Byte4 Out</v>
      </c>
      <c r="C48" s="2" t="str">
        <f t="shared" si="1"/>
        <v>eDebug5_Byte4Out</v>
      </c>
      <c r="D48" s="3" t="b">
        <v>1</v>
      </c>
      <c r="E48" s="2">
        <v>8</v>
      </c>
      <c r="F48" s="2" t="s">
        <v>95</v>
      </c>
      <c r="G48" s="2" t="s">
        <v>20</v>
      </c>
      <c r="H48" s="3" t="b">
        <v>0</v>
      </c>
      <c r="I48" s="2" t="s">
        <v>20</v>
      </c>
      <c r="J48" s="2" t="s">
        <v>27</v>
      </c>
      <c r="K48" s="2" t="s">
        <v>20</v>
      </c>
      <c r="L48" s="2" t="s">
        <v>20</v>
      </c>
    </row>
    <row r="49" spans="1:12">
      <c r="A49" s="2" t="s">
        <v>83</v>
      </c>
      <c r="B49" s="6" t="str">
        <f t="shared" si="0"/>
        <v>Debug5_Byte5 Out</v>
      </c>
      <c r="C49" s="2" t="str">
        <f t="shared" si="1"/>
        <v>eDebug5_Byte5Out</v>
      </c>
      <c r="D49" s="3" t="b">
        <v>1</v>
      </c>
      <c r="E49" s="2">
        <v>8</v>
      </c>
      <c r="F49" s="2" t="s">
        <v>95</v>
      </c>
      <c r="G49" s="2" t="s">
        <v>20</v>
      </c>
      <c r="H49" s="3" t="b">
        <v>0</v>
      </c>
      <c r="I49" s="2" t="s">
        <v>20</v>
      </c>
      <c r="J49" s="2" t="s">
        <v>27</v>
      </c>
      <c r="K49" s="2" t="s">
        <v>20</v>
      </c>
      <c r="L49" s="2" t="s">
        <v>20</v>
      </c>
    </row>
    <row r="50" spans="1:12">
      <c r="A50" s="2" t="s">
        <v>84</v>
      </c>
      <c r="B50" s="6" t="str">
        <f t="shared" si="0"/>
        <v>Debug5_Byte6 Out</v>
      </c>
      <c r="C50" s="2" t="str">
        <f t="shared" si="1"/>
        <v>eDebug5_Byte6Out</v>
      </c>
      <c r="D50" s="3" t="b">
        <v>1</v>
      </c>
      <c r="E50" s="2">
        <v>8</v>
      </c>
      <c r="F50" s="2" t="s">
        <v>95</v>
      </c>
      <c r="G50" s="2" t="s">
        <v>20</v>
      </c>
      <c r="H50" s="3" t="b">
        <v>0</v>
      </c>
      <c r="I50" s="2" t="s">
        <v>20</v>
      </c>
      <c r="J50" s="2" t="s">
        <v>27</v>
      </c>
      <c r="K50" s="2" t="s">
        <v>20</v>
      </c>
      <c r="L50" s="2" t="s">
        <v>20</v>
      </c>
    </row>
    <row r="51" spans="1:12">
      <c r="A51" s="2" t="s">
        <v>85</v>
      </c>
      <c r="B51" s="6" t="str">
        <f t="shared" si="0"/>
        <v>Debug5_Byte7 Out</v>
      </c>
      <c r="C51" s="2" t="str">
        <f t="shared" si="1"/>
        <v>eDebug5_Byte7Out</v>
      </c>
      <c r="D51" s="3" t="b">
        <v>1</v>
      </c>
      <c r="E51" s="2">
        <v>8</v>
      </c>
      <c r="F51" s="2" t="s">
        <v>95</v>
      </c>
      <c r="G51" s="2" t="s">
        <v>20</v>
      </c>
      <c r="H51" s="3" t="b">
        <v>0</v>
      </c>
      <c r="I51" s="2" t="s">
        <v>20</v>
      </c>
      <c r="J51" s="2" t="s">
        <v>27</v>
      </c>
      <c r="K51" s="2" t="s">
        <v>20</v>
      </c>
      <c r="L51" s="2" t="s">
        <v>20</v>
      </c>
    </row>
  </sheetData>
  <phoneticPr fontId="2" type="noConversion"/>
  <dataValidations count="1">
    <dataValidation type="list" allowBlank="1" showInputMessage="1" showErrorMessage="1" sqref="D2:D51 K2:L51 G2:I51" xr:uid="{118CFFB7-E6B1-421D-AD10-E5E8BD126AB8}">
      <formula1>"FALSE,TRUE"</formula1>
    </dataValidation>
  </dataValidation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RxSignals</vt:lpstr>
      <vt:lpstr>TxSignals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Basavarajappa, Abhilash (A.)</cp:lastModifiedBy>
  <dcterms:created xsi:type="dcterms:W3CDTF">2021-08-10T13:37:19Z</dcterms:created>
  <dcterms:modified xsi:type="dcterms:W3CDTF">2025-06-03T09:17:19Z</dcterms:modified>
</cp:coreProperties>
</file>
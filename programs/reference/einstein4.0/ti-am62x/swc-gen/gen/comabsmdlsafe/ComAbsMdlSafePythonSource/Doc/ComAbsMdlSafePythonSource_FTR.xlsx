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teon-my.sharepoint.com/personal/abasavar_visteon_com/Documents/ComAbsSafeTool_Doc/Doc/"/>
    </mc:Choice>
  </mc:AlternateContent>
  <xr:revisionPtr revIDLastSave="2" documentId="13_ncr:1_{49303E78-3124-4311-9E4E-31C98478C4CA}" xr6:coauthVersionLast="47" xr6:coauthVersionMax="47" xr10:uidLastSave="{74AD22F4-C32D-4A96-92EB-57D11E4B4F93}"/>
  <bookViews>
    <workbookView xWindow="-108" yWindow="-108" windowWidth="23256" windowHeight="13896" activeTab="1" xr2:uid="{7BFE128D-76FF-4B79-8F04-9828C679411F}"/>
  </bookViews>
  <sheets>
    <sheet name="Summary" sheetId="2" r:id="rId1"/>
    <sheet name="Test_Specification" sheetId="3" r:id="rId2"/>
    <sheet name="Work Product Version History" sheetId="4" r:id="rId3"/>
    <sheet name=" Template Version History 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14" i="3"/>
  <c r="C13" i="3"/>
  <c r="C12" i="3"/>
  <c r="C11" i="3"/>
  <c r="C8" i="2"/>
  <c r="H7" i="2"/>
  <c r="C7" i="2"/>
  <c r="H5" i="2"/>
  <c r="H4" i="2"/>
  <c r="C15" i="3" l="1"/>
  <c r="C16" i="3" s="1"/>
</calcChain>
</file>

<file path=xl/sharedStrings.xml><?xml version="1.0" encoding="utf-8"?>
<sst xmlns="http://schemas.openxmlformats.org/spreadsheetml/2006/main" count="115" uniqueCount="76">
  <si>
    <t>abasavar</t>
  </si>
  <si>
    <t>Test Results Summary</t>
  </si>
  <si>
    <t>Test Results Summary per Requirement</t>
  </si>
  <si>
    <t>Number of Test Cases</t>
  </si>
  <si>
    <t>Number of Requirements</t>
  </si>
  <si>
    <t>Number of Test Cases Executed</t>
  </si>
  <si>
    <t>Number of Requirements Executed</t>
  </si>
  <si>
    <t>Number of Test Cases Passed</t>
  </si>
  <si>
    <t>Number of Requirements Passed</t>
  </si>
  <si>
    <t>Number of Test Cases Failed</t>
  </si>
  <si>
    <t>Number of Requirements Failed</t>
  </si>
  <si>
    <t>Number of Defects Raised</t>
  </si>
  <si>
    <t>Date</t>
  </si>
  <si>
    <t>Feature</t>
  </si>
  <si>
    <t>Requirement Reference</t>
  </si>
  <si>
    <t>Test Type</t>
  </si>
  <si>
    <t>Test Steps</t>
  </si>
  <si>
    <t>Expected Result</t>
  </si>
  <si>
    <t>Actual Result</t>
  </si>
  <si>
    <t>Test Results</t>
  </si>
  <si>
    <t>Defect Summary</t>
  </si>
  <si>
    <t>Reproducibility</t>
  </si>
  <si>
    <t>PASS</t>
  </si>
  <si>
    <t>Fault Injection Test</t>
  </si>
  <si>
    <t>Integration and Functional Test Results</t>
  </si>
  <si>
    <t>To prevent confusion and misalignment, avoid putting release dates and / or version numbers in either the header or footer of the file.</t>
  </si>
  <si>
    <r>
      <t xml:space="preserve">Version History - </t>
    </r>
    <r>
      <rPr>
        <b/>
        <i/>
        <sz val="12"/>
        <color theme="1"/>
        <rFont val="Arial"/>
        <family val="2"/>
      </rPr>
      <t xml:space="preserve">Work Product (specific to a project) </t>
    </r>
  </si>
  <si>
    <t>Version</t>
  </si>
  <si>
    <t>Release Date</t>
  </si>
  <si>
    <t>Author</t>
  </si>
  <si>
    <t>Description of Changes</t>
  </si>
  <si>
    <t>Provide the description of changes related to update of the template of review checklist.</t>
  </si>
  <si>
    <r>
      <t xml:space="preserve">Version History - </t>
    </r>
    <r>
      <rPr>
        <b/>
        <i/>
        <sz val="12"/>
        <color theme="1"/>
        <rFont val="Arial"/>
        <family val="2"/>
      </rPr>
      <t>Template</t>
    </r>
  </si>
  <si>
    <t>Version
Number</t>
  </si>
  <si>
    <t>Todor Topalov</t>
  </si>
  <si>
    <t>Initial creation and inclusion of the document in Vistway document registry.</t>
  </si>
  <si>
    <t>&lt;X.X&gt;</t>
  </si>
  <si>
    <t>&lt;DD-MMM-YYYY&gt;</t>
  </si>
  <si>
    <t>&lt; Name&gt;</t>
  </si>
  <si>
    <t>As Expected</t>
  </si>
  <si>
    <t>Test Proves</t>
  </si>
  <si>
    <t xml:space="preserve"> Fault Test[COMABSSAFE TOOL]</t>
  </si>
  <si>
    <t>Missing TxSignals sheet</t>
  </si>
  <si>
    <t>Excel without TxSignals</t>
  </si>
  <si>
    <t>Error: Sheet 'TxSignals' not found in workbook.</t>
  </si>
  <si>
    <t>Basic Test</t>
  </si>
  <si>
    <t>Nov/28/2025</t>
  </si>
  <si>
    <t>ComAbsMdlSafePythonSource Tool Validation</t>
  </si>
  <si>
    <t>Valid COMDBC File</t>
  </si>
  <si>
    <t>Provide a valid COMDBC file.</t>
  </si>
  <si>
    <t>Intermediate Excel is generated with all required columns</t>
  </si>
  <si>
    <t>Provide a corrupted or unsupported COMDBC file</t>
  </si>
  <si>
    <t>Invalid COMDBC File</t>
  </si>
  <si>
    <t>Tool displays an error message and does not proceed</t>
  </si>
  <si>
    <t>Timeout Column Update</t>
  </si>
  <si>
    <t>Update Timeout values in Excel.</t>
  </si>
  <si>
    <t>Changes are reflected in generated configuration files</t>
  </si>
  <si>
    <t>Missing Timeout Value</t>
  </si>
  <si>
    <t>Invalid Excel Format</t>
  </si>
  <si>
    <t>Tool should raise an error and stop execution.</t>
  </si>
  <si>
    <t>Missing Intermediate Sheet</t>
  </si>
  <si>
    <t>Excel without RxSignals</t>
  </si>
  <si>
    <t>Error: Sheet 'RxSignals' not found in workbook.</t>
  </si>
  <si>
    <t>Validating the timeout value as Non Zero</t>
  </si>
  <si>
    <t>give the Timout value as zero</t>
  </si>
  <si>
    <t>Timeout Value in ms': Must be greater than 0</t>
  </si>
  <si>
    <t>Validating the timeout value as filled</t>
  </si>
  <si>
    <t>Try to generate the cfg files without modifing timeout value column</t>
  </si>
  <si>
    <t>Timeout Value is not configured</t>
  </si>
  <si>
    <t>Validating the SignalLenghth field</t>
  </si>
  <si>
    <t>Validating the Enable\Disable field</t>
  </si>
  <si>
    <t>The signal is Disabled: Alive_101 (Msg: SG_ABS)</t>
  </si>
  <si>
    <t>'Length in bits': Must be greater than 0</t>
  </si>
  <si>
    <t>The signal is Disabled: SignalName (Msg: MessageName)</t>
  </si>
  <si>
    <t>Try to generate the cfg files by making Enable\Disable column as FALSE</t>
  </si>
  <si>
    <t>Try to generate the cfg files modifing SignalLenght field column as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</si>
</sst>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yy;@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3.5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3"/>
      <color rgb="FF000000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9C57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</font>
    <font>
      <b/>
      <sz val="12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Times New Roman"/>
      <family val="1"/>
      <charset val="1"/>
    </font>
    <font>
      <sz val="12"/>
      <color rgb="FF000000"/>
      <name val="Calibri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C6E0B4"/>
        <bgColor rgb="FFD6DCE4"/>
      </patternFill>
    </fill>
    <fill>
      <patternFill patternType="solid">
        <fgColor rgb="FFFFC00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6DCE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DEBF7"/>
        <bgColor rgb="FFD6DCE4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D6DCE4"/>
      </patternFill>
    </fill>
    <fill>
      <patternFill patternType="solid">
        <fgColor rgb="FFBDD7E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0" fillId="0" borderId="2" xfId="0" applyBorder="1"/>
    <xf numFmtId="0" fontId="0" fillId="0" borderId="0" xfId="0" applyAlignment="1">
      <alignment vertical="center"/>
    </xf>
    <xf numFmtId="0" fontId="0" fillId="4" borderId="2" xfId="0" applyFill="1" applyBorder="1"/>
    <xf numFmtId="0" fontId="0" fillId="0" borderId="2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/>
    <xf numFmtId="14" fontId="7" fillId="6" borderId="12" xfId="0" applyNumberFormat="1" applyFont="1" applyFill="1" applyBorder="1" applyAlignment="1">
      <alignment horizontal="left" wrapText="1"/>
    </xf>
    <xf numFmtId="0" fontId="7" fillId="0" borderId="0" xfId="0" applyFont="1" applyAlignment="1">
      <alignment wrapText="1"/>
    </xf>
    <xf numFmtId="0" fontId="7" fillId="6" borderId="12" xfId="0" applyFont="1" applyFill="1" applyBorder="1" applyAlignment="1">
      <alignment wrapText="1"/>
    </xf>
    <xf numFmtId="0" fontId="8" fillId="0" borderId="0" xfId="0" applyFont="1"/>
    <xf numFmtId="0" fontId="9" fillId="8" borderId="3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center"/>
    </xf>
    <xf numFmtId="9" fontId="9" fillId="8" borderId="2" xfId="0" applyNumberFormat="1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wrapText="1"/>
    </xf>
    <xf numFmtId="0" fontId="14" fillId="14" borderId="14" xfId="0" applyFont="1" applyFill="1" applyBorder="1" applyAlignment="1">
      <alignment vertical="center" wrapText="1"/>
    </xf>
    <xf numFmtId="0" fontId="17" fillId="15" borderId="14" xfId="0" applyFont="1" applyFill="1" applyBorder="1" applyAlignment="1">
      <alignment horizontal="center" vertical="center"/>
    </xf>
    <xf numFmtId="0" fontId="18" fillId="16" borderId="16" xfId="0" applyFont="1" applyFill="1" applyBorder="1"/>
    <xf numFmtId="0" fontId="18" fillId="16" borderId="0" xfId="0" applyFont="1" applyFill="1"/>
    <xf numFmtId="0" fontId="0" fillId="16" borderId="0" xfId="0" applyFill="1"/>
    <xf numFmtId="0" fontId="15" fillId="17" borderId="14" xfId="0" applyFont="1" applyFill="1" applyBorder="1" applyAlignment="1">
      <alignment wrapText="1"/>
    </xf>
    <xf numFmtId="0" fontId="18" fillId="18" borderId="14" xfId="0" applyFont="1" applyFill="1" applyBorder="1" applyAlignment="1">
      <alignment vertical="center" wrapText="1"/>
    </xf>
    <xf numFmtId="0" fontId="16" fillId="19" borderId="2" xfId="0" applyFont="1" applyFill="1" applyBorder="1" applyAlignment="1">
      <alignment vertical="center" wrapText="1"/>
    </xf>
    <xf numFmtId="0" fontId="18" fillId="18" borderId="14" xfId="0" applyFont="1" applyFill="1" applyBorder="1" applyAlignment="1">
      <alignment horizontal="center" vertical="center"/>
    </xf>
    <xf numFmtId="0" fontId="18" fillId="18" borderId="14" xfId="0" applyFont="1" applyFill="1" applyBorder="1" applyAlignment="1">
      <alignment vertical="center"/>
    </xf>
    <xf numFmtId="0" fontId="19" fillId="20" borderId="14" xfId="0" applyFont="1" applyFill="1" applyBorder="1" applyAlignment="1">
      <alignment wrapText="1"/>
    </xf>
    <xf numFmtId="0" fontId="17" fillId="0" borderId="14" xfId="0" applyFont="1" applyBorder="1" applyAlignment="1">
      <alignment horizontal="center" vertical="center"/>
    </xf>
    <xf numFmtId="0" fontId="5" fillId="21" borderId="14" xfId="0" applyFont="1" applyFill="1" applyBorder="1" applyAlignment="1">
      <alignment vertical="center"/>
    </xf>
    <xf numFmtId="0" fontId="5" fillId="21" borderId="14" xfId="0" applyFont="1" applyFill="1" applyBorder="1" applyAlignment="1">
      <alignment horizontal="center" vertical="center"/>
    </xf>
    <xf numFmtId="0" fontId="5" fillId="21" borderId="14" xfId="0" applyFont="1" applyFill="1" applyBorder="1" applyAlignment="1">
      <alignment vertical="center" wrapText="1"/>
    </xf>
    <xf numFmtId="0" fontId="19" fillId="22" borderId="14" xfId="0" applyFont="1" applyFill="1" applyBorder="1" applyAlignment="1">
      <alignment wrapText="1"/>
    </xf>
    <xf numFmtId="0" fontId="20" fillId="23" borderId="14" xfId="0" applyFont="1" applyFill="1" applyBorder="1" applyAlignment="1">
      <alignment vertical="center" wrapText="1"/>
    </xf>
    <xf numFmtId="0" fontId="5" fillId="23" borderId="14" xfId="0" applyFont="1" applyFill="1" applyBorder="1" applyAlignment="1">
      <alignment vertical="center"/>
    </xf>
    <xf numFmtId="0" fontId="5" fillId="23" borderId="14" xfId="0" applyFont="1" applyFill="1" applyBorder="1" applyAlignment="1">
      <alignment horizontal="center" vertical="center"/>
    </xf>
    <xf numFmtId="0" fontId="5" fillId="23" borderId="1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1" fillId="0" borderId="0" xfId="0" applyFont="1"/>
    <xf numFmtId="49" fontId="22" fillId="0" borderId="0" xfId="0" applyNumberFormat="1" applyFont="1" applyAlignment="1">
      <alignment horizontal="center" vertical="center"/>
    </xf>
    <xf numFmtId="0" fontId="21" fillId="24" borderId="0" xfId="0" applyFont="1" applyFill="1"/>
    <xf numFmtId="49" fontId="21" fillId="0" borderId="0" xfId="0" applyNumberFormat="1" applyFont="1" applyAlignment="1">
      <alignment horizontal="center"/>
    </xf>
    <xf numFmtId="0" fontId="24" fillId="0" borderId="0" xfId="0" applyFont="1"/>
    <xf numFmtId="0" fontId="26" fillId="2" borderId="2" xfId="0" applyFont="1" applyFill="1" applyBorder="1" applyAlignment="1">
      <alignment horizontal="center" vertical="center"/>
    </xf>
    <xf numFmtId="164" fontId="23" fillId="0" borderId="2" xfId="0" quotePrefix="1" applyNumberFormat="1" applyFont="1" applyBorder="1" applyAlignment="1">
      <alignment horizontal="center"/>
    </xf>
    <xf numFmtId="0" fontId="29" fillId="25" borderId="20" xfId="0" applyFont="1" applyFill="1" applyBorder="1" applyAlignment="1">
      <alignment horizontal="center" vertical="center" wrapText="1"/>
    </xf>
    <xf numFmtId="164" fontId="31" fillId="0" borderId="20" xfId="0" applyNumberFormat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left"/>
    </xf>
    <xf numFmtId="0" fontId="8" fillId="7" borderId="13" xfId="0" applyFont="1" applyFill="1" applyBorder="1" applyAlignment="1">
      <alignment horizontal="center"/>
    </xf>
    <xf numFmtId="0" fontId="3" fillId="3" borderId="2" xfId="1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165" fontId="28" fillId="0" borderId="17" xfId="0" applyNumberFormat="1" applyFont="1" applyBorder="1" applyAlignment="1">
      <alignment horizontal="center" vertical="center"/>
    </xf>
    <xf numFmtId="165" fontId="28" fillId="0" borderId="18" xfId="0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49" fontId="28" fillId="0" borderId="17" xfId="0" applyNumberFormat="1" applyFont="1" applyBorder="1" applyAlignment="1">
      <alignment horizontal="left" vertical="center" wrapText="1"/>
    </xf>
    <xf numFmtId="49" fontId="28" fillId="0" borderId="19" xfId="0" applyNumberFormat="1" applyFont="1" applyBorder="1" applyAlignment="1">
      <alignment horizontal="left" vertical="center" wrapText="1"/>
    </xf>
    <xf numFmtId="49" fontId="28" fillId="0" borderId="18" xfId="0" applyNumberFormat="1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 wrapText="1"/>
    </xf>
    <xf numFmtId="0" fontId="27" fillId="2" borderId="17" xfId="0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horizontal="center" vertical="center" wrapText="1"/>
    </xf>
    <xf numFmtId="0" fontId="27" fillId="2" borderId="17" xfId="0" applyFont="1" applyFill="1" applyBorder="1" applyAlignment="1">
      <alignment horizontal="center" vertical="center"/>
    </xf>
    <xf numFmtId="0" fontId="27" fillId="2" borderId="19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49" fontId="31" fillId="0" borderId="17" xfId="0" applyNumberFormat="1" applyFont="1" applyBorder="1" applyAlignment="1">
      <alignment horizontal="left" vertical="center" wrapText="1"/>
    </xf>
    <xf numFmtId="49" fontId="31" fillId="0" borderId="19" xfId="0" applyNumberFormat="1" applyFont="1" applyBorder="1" applyAlignment="1">
      <alignment horizontal="left" vertical="center" wrapText="1"/>
    </xf>
    <xf numFmtId="49" fontId="31" fillId="0" borderId="18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0" fillId="2" borderId="17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/>
    </xf>
    <xf numFmtId="0" fontId="31" fillId="16" borderId="17" xfId="0" applyFont="1" applyFill="1" applyBorder="1" applyAlignment="1">
      <alignment horizontal="center" vertical="center"/>
    </xf>
    <xf numFmtId="0" fontId="31" fillId="16" borderId="19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8B2B4BAD-B96C-4898-8C0F-6DD3B17591DD}"/>
  </cellStyles>
  <dxfs count="7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[1]Test_Specification!$A$1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CC-4B44-A62D-BAC17B40FF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CC-4B44-A62D-BAC17B40FF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CC-4B44-A62D-BAC17B40FF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CC-4B44-A62D-BAC17B40FF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CC-4B44-A62D-BAC17B40FF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[1]Test_Specification!$B$10:$B$14</c:f>
              <c:strCache>
                <c:ptCount val="5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  <c:pt idx="3">
                  <c:v>Not Tested</c:v>
                </c:pt>
                <c:pt idx="4">
                  <c:v>Not implemented</c:v>
                </c:pt>
              </c:strCache>
            </c:strRef>
          </c:cat>
          <c:val>
            <c:numRef>
              <c:f>[1]Test_Specification!$C$10:$C$14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CC-4B44-A62D-BAC17B40F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gi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85725</xdr:rowOff>
    </xdr:from>
    <xdr:to>
      <xdr:col>5</xdr:col>
      <xdr:colOff>0</xdr:colOff>
      <xdr:row>15</xdr:row>
      <xdr:rowOff>171450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868680</xdr:colOff>
          <xdr:row>23</xdr:row>
          <xdr:rowOff>129540</xdr:rowOff>
        </xdr:from>
        <xdr:to>
          <xdr:col>8</xdr:col>
          <xdr:colOff>2324100</xdr:colOff>
          <xdr:row>23</xdr:row>
          <xdr:rowOff>647700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701040</xdr:colOff>
          <xdr:row>24</xdr:row>
          <xdr:rowOff>99060</xdr:rowOff>
        </xdr:from>
        <xdr:to>
          <xdr:col>8</xdr:col>
          <xdr:colOff>2133600</xdr:colOff>
          <xdr:row>24</xdr:row>
          <xdr:rowOff>617220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670560</xdr:colOff>
          <xdr:row>19</xdr:row>
          <xdr:rowOff>60960</xdr:rowOff>
        </xdr:from>
        <xdr:to>
          <xdr:col>8</xdr:col>
          <xdr:colOff>1638300</xdr:colOff>
          <xdr:row>19</xdr:row>
          <xdr:rowOff>579120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739140</xdr:colOff>
          <xdr:row>20</xdr:row>
          <xdr:rowOff>236220</xdr:rowOff>
        </xdr:from>
        <xdr:to>
          <xdr:col>8</xdr:col>
          <xdr:colOff>1699260</xdr:colOff>
          <xdr:row>20</xdr:row>
          <xdr:rowOff>754380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640080</xdr:colOff>
          <xdr:row>21</xdr:row>
          <xdr:rowOff>434340</xdr:rowOff>
        </xdr:from>
        <xdr:to>
          <xdr:col>8</xdr:col>
          <xdr:colOff>2255520</xdr:colOff>
          <xdr:row>21</xdr:row>
          <xdr:rowOff>952500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754380</xdr:colOff>
          <xdr:row>22</xdr:row>
          <xdr:rowOff>304800</xdr:rowOff>
        </xdr:from>
        <xdr:to>
          <xdr:col>8</xdr:col>
          <xdr:colOff>2674620</xdr:colOff>
          <xdr:row>22</xdr:row>
          <xdr:rowOff>822960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121920</xdr:rowOff>
        </xdr:from>
        <xdr:to>
          <xdr:col>8</xdr:col>
          <xdr:colOff>1836420</xdr:colOff>
          <xdr:row>25</xdr:row>
          <xdr:rowOff>739140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655320</xdr:colOff>
          <xdr:row>26</xdr:row>
          <xdr:rowOff>152400</xdr:rowOff>
        </xdr:from>
        <xdr:to>
          <xdr:col>8</xdr:col>
          <xdr:colOff>2674620</xdr:colOff>
          <xdr:row>26</xdr:row>
          <xdr:rowOff>670560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655320</xdr:colOff>
          <xdr:row>27</xdr:row>
          <xdr:rowOff>152400</xdr:rowOff>
        </xdr:from>
        <xdr:to>
          <xdr:col>8</xdr:col>
          <xdr:colOff>2103120</xdr:colOff>
          <xdr:row>27</xdr:row>
          <xdr:rowOff>670560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1104900</xdr:colOff>
          <xdr:row>28</xdr:row>
          <xdr:rowOff>114300</xdr:rowOff>
        </xdr:from>
        <xdr:to>
          <xdr:col>8</xdr:col>
          <xdr:colOff>2026920</xdr:colOff>
          <xdr:row>28</xdr:row>
          <xdr:rowOff>632460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2</xdr:row>
      <xdr:rowOff>53340</xdr:rowOff>
    </xdr:from>
    <xdr:to>
      <xdr:col>1</xdr:col>
      <xdr:colOff>472440</xdr:colOff>
      <xdr:row>4</xdr:row>
      <xdr:rowOff>174897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" y="518160"/>
          <a:ext cx="327660" cy="3120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L_MONITORING\Functional%20Testing%20(3)\SM20_Functional_Test_Result.xlsx" TargetMode="External"/><Relationship Id="rId1" Type="http://schemas.openxmlformats.org/officeDocument/2006/relationships/externalLinkPath" Target="/BL_MONITORING/Functional%20Testing%20(3)/SM20_Functional_Test_Res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Test_Specification"/>
      <sheetName val="Work Product Version History"/>
      <sheetName val=" Template Version History "/>
    </sheetNames>
    <sheetDataSet>
      <sheetData sheetId="0"/>
      <sheetData sheetId="1">
        <row r="1">
          <cell r="A1"/>
          <cell r="I1"/>
        </row>
        <row r="2">
          <cell r="I2"/>
        </row>
        <row r="3">
          <cell r="I3"/>
        </row>
        <row r="4">
          <cell r="I4"/>
        </row>
        <row r="5">
          <cell r="I5"/>
        </row>
        <row r="6">
          <cell r="I6"/>
        </row>
        <row r="7">
          <cell r="I7"/>
        </row>
        <row r="8">
          <cell r="I8"/>
        </row>
        <row r="9">
          <cell r="I9"/>
        </row>
        <row r="10">
          <cell r="B10" t="str">
            <v>Pass</v>
          </cell>
          <cell r="C10">
            <v>4</v>
          </cell>
          <cell r="I10"/>
        </row>
        <row r="11">
          <cell r="B11" t="str">
            <v>Fail</v>
          </cell>
          <cell r="C11">
            <v>0</v>
          </cell>
          <cell r="I11"/>
        </row>
        <row r="12">
          <cell r="B12" t="str">
            <v>Blocked</v>
          </cell>
          <cell r="C12">
            <v>0</v>
          </cell>
          <cell r="I12"/>
        </row>
        <row r="13">
          <cell r="B13" t="str">
            <v>Not Tested</v>
          </cell>
          <cell r="C13">
            <v>0</v>
          </cell>
          <cell r="I13"/>
        </row>
        <row r="14">
          <cell r="B14" t="str">
            <v>Not implemented</v>
          </cell>
          <cell r="C14">
            <v>0</v>
          </cell>
          <cell r="I14"/>
        </row>
        <row r="15">
          <cell r="I15"/>
        </row>
        <row r="16">
          <cell r="I16"/>
        </row>
        <row r="17">
          <cell r="I17"/>
        </row>
        <row r="18">
          <cell r="I18"/>
        </row>
        <row r="19">
          <cell r="I19" t="str">
            <v>Actual Result</v>
          </cell>
        </row>
        <row r="20">
          <cell r="C20"/>
          <cell r="I20" t="str">
            <v>PASS</v>
          </cell>
          <cell r="K20"/>
        </row>
        <row r="21">
          <cell r="C21" t="str">
            <v>PE4TI29141-3457</v>
          </cell>
          <cell r="I21" t="str">
            <v>PASS</v>
          </cell>
          <cell r="K21"/>
        </row>
        <row r="22">
          <cell r="C22" t="str">
            <v xml:space="preserve">	
PE4TI29141-3903</v>
          </cell>
          <cell r="I22" t="str">
            <v>PASS</v>
          </cell>
          <cell r="K22"/>
        </row>
        <row r="23">
          <cell r="C23" t="str">
            <v>PE4TI29141-3457</v>
          </cell>
          <cell r="I23" t="str">
            <v>PASS</v>
          </cell>
          <cell r="K23"/>
        </row>
        <row r="24">
          <cell r="C24"/>
          <cell r="I24"/>
          <cell r="K24"/>
        </row>
        <row r="25">
          <cell r="C25"/>
          <cell r="I25"/>
          <cell r="K25"/>
        </row>
        <row r="26">
          <cell r="C26"/>
          <cell r="I26"/>
          <cell r="K26"/>
        </row>
        <row r="27">
          <cell r="C27"/>
          <cell r="I27"/>
          <cell r="K27"/>
        </row>
        <row r="28">
          <cell r="C28"/>
          <cell r="I28"/>
          <cell r="K28"/>
        </row>
        <row r="29">
          <cell r="C29"/>
          <cell r="I29"/>
          <cell r="K29"/>
        </row>
        <row r="30">
          <cell r="C30"/>
          <cell r="I30"/>
          <cell r="K30"/>
        </row>
        <row r="31">
          <cell r="C31"/>
          <cell r="I31"/>
          <cell r="K31"/>
        </row>
        <row r="32">
          <cell r="C32"/>
          <cell r="I32"/>
          <cell r="K32"/>
        </row>
        <row r="33">
          <cell r="C33"/>
          <cell r="I33"/>
          <cell r="K33"/>
        </row>
        <row r="34">
          <cell r="C34"/>
          <cell r="I34"/>
          <cell r="K34"/>
        </row>
        <row r="35">
          <cell r="C35"/>
          <cell r="I35"/>
          <cell r="K35"/>
        </row>
        <row r="36">
          <cell r="C36"/>
          <cell r="I36"/>
          <cell r="K36"/>
        </row>
        <row r="37">
          <cell r="C37"/>
          <cell r="I37"/>
          <cell r="K37"/>
        </row>
        <row r="38">
          <cell r="C38"/>
          <cell r="I38"/>
          <cell r="K38"/>
        </row>
        <row r="39">
          <cell r="C39"/>
          <cell r="I39"/>
          <cell r="K39"/>
        </row>
        <row r="40">
          <cell r="C40"/>
          <cell r="I40"/>
          <cell r="K40"/>
        </row>
        <row r="41">
          <cell r="C41"/>
          <cell r="I41"/>
          <cell r="K41"/>
        </row>
        <row r="42">
          <cell r="C42"/>
          <cell r="I42"/>
          <cell r="K42"/>
        </row>
        <row r="43">
          <cell r="C43"/>
          <cell r="I43"/>
          <cell r="K43"/>
        </row>
        <row r="44">
          <cell r="C44"/>
          <cell r="I44"/>
          <cell r="K44"/>
        </row>
        <row r="45">
          <cell r="C45"/>
          <cell r="I45"/>
          <cell r="K45"/>
        </row>
        <row r="46">
          <cell r="C46"/>
          <cell r="I46"/>
          <cell r="K46"/>
        </row>
        <row r="47">
          <cell r="C47"/>
          <cell r="I47"/>
          <cell r="K47"/>
        </row>
        <row r="48">
          <cell r="C48"/>
          <cell r="I48"/>
          <cell r="K48"/>
        </row>
        <row r="49">
          <cell r="C49"/>
          <cell r="I49"/>
          <cell r="K49"/>
        </row>
        <row r="50">
          <cell r="C50"/>
          <cell r="I50"/>
          <cell r="K50"/>
        </row>
        <row r="51">
          <cell r="C51"/>
          <cell r="I51"/>
          <cell r="K51"/>
        </row>
        <row r="52">
          <cell r="C52"/>
          <cell r="I52"/>
          <cell r="K52"/>
        </row>
        <row r="53">
          <cell r="C53"/>
          <cell r="I53"/>
          <cell r="K53"/>
        </row>
        <row r="54">
          <cell r="C54"/>
          <cell r="I54"/>
          <cell r="K54"/>
        </row>
        <row r="55">
          <cell r="C55"/>
          <cell r="I55"/>
          <cell r="K55"/>
        </row>
        <row r="56">
          <cell r="C56"/>
          <cell r="I56"/>
          <cell r="K56"/>
        </row>
        <row r="57">
          <cell r="C57"/>
          <cell r="I57"/>
          <cell r="K57"/>
        </row>
        <row r="58">
          <cell r="C58"/>
          <cell r="I58"/>
          <cell r="K58"/>
        </row>
        <row r="59">
          <cell r="C59"/>
          <cell r="I59"/>
          <cell r="K59"/>
        </row>
        <row r="60">
          <cell r="C60"/>
          <cell r="I60"/>
          <cell r="K60"/>
        </row>
        <row r="61">
          <cell r="C61"/>
          <cell r="I61"/>
          <cell r="K61"/>
        </row>
        <row r="62">
          <cell r="C62"/>
          <cell r="I62"/>
          <cell r="K62"/>
        </row>
        <row r="63">
          <cell r="C63"/>
          <cell r="I63"/>
          <cell r="K63"/>
        </row>
        <row r="64">
          <cell r="C64"/>
          <cell r="I64"/>
          <cell r="K64"/>
        </row>
        <row r="65">
          <cell r="C65"/>
          <cell r="I65"/>
          <cell r="K65"/>
        </row>
        <row r="66">
          <cell r="C66"/>
          <cell r="I66"/>
          <cell r="K66"/>
        </row>
        <row r="67">
          <cell r="C67"/>
          <cell r="I67"/>
          <cell r="K67"/>
        </row>
        <row r="68">
          <cell r="C68"/>
          <cell r="I68"/>
          <cell r="K68"/>
        </row>
        <row r="69">
          <cell r="C69"/>
          <cell r="I69"/>
          <cell r="K69"/>
        </row>
        <row r="70">
          <cell r="C70"/>
          <cell r="I70"/>
          <cell r="K70"/>
        </row>
        <row r="71">
          <cell r="C71"/>
          <cell r="I71"/>
          <cell r="K71"/>
        </row>
        <row r="72">
          <cell r="C72"/>
          <cell r="I72"/>
          <cell r="K72"/>
        </row>
        <row r="73">
          <cell r="C73"/>
          <cell r="I73"/>
          <cell r="K73"/>
        </row>
        <row r="74">
          <cell r="C74"/>
          <cell r="I74"/>
          <cell r="K74"/>
        </row>
        <row r="75">
          <cell r="C75"/>
          <cell r="I75"/>
          <cell r="K75"/>
        </row>
        <row r="76">
          <cell r="C76"/>
          <cell r="I76"/>
          <cell r="K76"/>
        </row>
        <row r="77">
          <cell r="C77"/>
          <cell r="I77"/>
          <cell r="K77"/>
        </row>
        <row r="78">
          <cell r="C78"/>
          <cell r="I78"/>
          <cell r="K78"/>
        </row>
        <row r="79">
          <cell r="C79"/>
          <cell r="I79"/>
          <cell r="K79"/>
        </row>
        <row r="80">
          <cell r="C80"/>
          <cell r="I80"/>
          <cell r="K80"/>
        </row>
        <row r="81">
          <cell r="C81"/>
          <cell r="I81"/>
          <cell r="K81"/>
        </row>
        <row r="82">
          <cell r="C82"/>
          <cell r="I82"/>
          <cell r="K82"/>
        </row>
        <row r="83">
          <cell r="C83"/>
          <cell r="I83"/>
          <cell r="K83"/>
        </row>
        <row r="84">
          <cell r="C84"/>
          <cell r="I84"/>
          <cell r="K84"/>
        </row>
        <row r="85">
          <cell r="C85"/>
          <cell r="I85"/>
          <cell r="K85"/>
        </row>
        <row r="86">
          <cell r="C86"/>
          <cell r="I86"/>
          <cell r="K86"/>
        </row>
        <row r="87">
          <cell r="C87"/>
          <cell r="I87"/>
          <cell r="K87"/>
        </row>
        <row r="88">
          <cell r="C88"/>
          <cell r="I88"/>
          <cell r="K88"/>
        </row>
        <row r="89">
          <cell r="C89"/>
          <cell r="I89"/>
          <cell r="K89"/>
        </row>
        <row r="90">
          <cell r="C90"/>
          <cell r="I90"/>
          <cell r="K90"/>
        </row>
        <row r="91">
          <cell r="C91"/>
          <cell r="I91"/>
          <cell r="K91"/>
        </row>
        <row r="92">
          <cell r="C92"/>
          <cell r="I92"/>
          <cell r="K92"/>
        </row>
        <row r="93">
          <cell r="C93"/>
          <cell r="I93"/>
          <cell r="K93"/>
        </row>
        <row r="94">
          <cell r="C94"/>
          <cell r="I94"/>
          <cell r="K94"/>
        </row>
        <row r="95">
          <cell r="C95"/>
          <cell r="I95"/>
          <cell r="K95"/>
        </row>
        <row r="96">
          <cell r="C96"/>
          <cell r="I96"/>
          <cell r="K96"/>
        </row>
        <row r="97">
          <cell r="C97"/>
          <cell r="I97"/>
          <cell r="K97"/>
        </row>
        <row r="98">
          <cell r="C98"/>
          <cell r="I98"/>
          <cell r="K98"/>
        </row>
        <row r="99">
          <cell r="C99"/>
          <cell r="I99"/>
          <cell r="K99"/>
        </row>
        <row r="100">
          <cell r="C100"/>
          <cell r="I100"/>
          <cell r="K100"/>
        </row>
        <row r="101">
          <cell r="C101"/>
          <cell r="I101"/>
          <cell r="K101"/>
        </row>
        <row r="102">
          <cell r="C102"/>
          <cell r="I102"/>
          <cell r="K102"/>
        </row>
        <row r="103">
          <cell r="C103"/>
          <cell r="I103"/>
          <cell r="K103"/>
        </row>
        <row r="104">
          <cell r="C104"/>
          <cell r="I104"/>
          <cell r="K104"/>
        </row>
        <row r="105">
          <cell r="C105"/>
          <cell r="I105"/>
          <cell r="K105"/>
        </row>
        <row r="106">
          <cell r="C106"/>
          <cell r="I106"/>
          <cell r="K106"/>
        </row>
        <row r="107">
          <cell r="C107"/>
          <cell r="I107"/>
          <cell r="K107"/>
        </row>
        <row r="108">
          <cell r="C108"/>
          <cell r="I108"/>
          <cell r="K108"/>
        </row>
        <row r="109">
          <cell r="C109"/>
          <cell r="I109"/>
          <cell r="K109"/>
        </row>
        <row r="110">
          <cell r="C110"/>
          <cell r="I110"/>
          <cell r="K110"/>
        </row>
        <row r="111">
          <cell r="C111"/>
          <cell r="I111"/>
          <cell r="K111"/>
        </row>
        <row r="112">
          <cell r="C112"/>
          <cell r="I112"/>
          <cell r="K112"/>
        </row>
        <row r="113">
          <cell r="C113"/>
          <cell r="I113"/>
          <cell r="K113"/>
        </row>
        <row r="114">
          <cell r="C114"/>
          <cell r="I114"/>
          <cell r="K114"/>
        </row>
        <row r="115">
          <cell r="C115"/>
          <cell r="I115"/>
          <cell r="K115"/>
        </row>
        <row r="116">
          <cell r="C116"/>
          <cell r="I116"/>
          <cell r="K116"/>
        </row>
        <row r="117">
          <cell r="C117"/>
          <cell r="I117"/>
          <cell r="K117"/>
        </row>
        <row r="118">
          <cell r="C118"/>
          <cell r="I118"/>
          <cell r="K118"/>
        </row>
        <row r="119">
          <cell r="C119"/>
          <cell r="I119"/>
          <cell r="K119"/>
        </row>
        <row r="120">
          <cell r="C120"/>
          <cell r="I120"/>
          <cell r="K120"/>
        </row>
        <row r="121">
          <cell r="C121"/>
          <cell r="I121"/>
          <cell r="K121"/>
        </row>
        <row r="122">
          <cell r="C122"/>
          <cell r="I122"/>
          <cell r="K122"/>
        </row>
        <row r="123">
          <cell r="C123"/>
          <cell r="I123"/>
          <cell r="K123"/>
        </row>
        <row r="124">
          <cell r="C124"/>
          <cell r="I124"/>
          <cell r="K124"/>
        </row>
        <row r="125">
          <cell r="C125"/>
          <cell r="I125"/>
          <cell r="K125"/>
        </row>
        <row r="126">
          <cell r="C126"/>
          <cell r="I126"/>
          <cell r="K126"/>
        </row>
        <row r="127">
          <cell r="C127"/>
          <cell r="I127"/>
          <cell r="K127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7C98-E898-4434-B5DC-07AE04637BF8}">
  <dimension ref="A1:I33"/>
  <sheetViews>
    <sheetView workbookViewId="0">
      <selection activeCell="C21" sqref="C21"/>
    </sheetView>
  </sheetViews>
  <sheetFormatPr defaultRowHeight="14.4" x14ac:dyDescent="0.3"/>
  <cols>
    <col min="2" max="2" width="36.6640625" bestFit="1" customWidth="1"/>
    <col min="3" max="3" width="14.109375" customWidth="1"/>
    <col min="4" max="4" width="23.109375" customWidth="1"/>
    <col min="7" max="7" width="36.6640625" bestFit="1" customWidth="1"/>
    <col min="8" max="8" width="12.109375" customWidth="1"/>
    <col min="9" max="9" width="33.6640625" customWidth="1"/>
  </cols>
  <sheetData>
    <row r="1" spans="1:9" ht="21" x14ac:dyDescent="0.3">
      <c r="A1" s="53" t="s">
        <v>1</v>
      </c>
      <c r="B1" s="53"/>
      <c r="C1" s="53"/>
      <c r="D1" s="53"/>
      <c r="E1" s="53"/>
      <c r="F1" s="53"/>
      <c r="G1" s="53"/>
      <c r="H1" s="53"/>
      <c r="I1" s="53"/>
    </row>
    <row r="3" spans="1:9" x14ac:dyDescent="0.3">
      <c r="B3" s="3" t="s">
        <v>1</v>
      </c>
      <c r="C3" s="3"/>
      <c r="G3" s="3" t="s">
        <v>2</v>
      </c>
      <c r="H3" s="3"/>
    </row>
    <row r="4" spans="1:9" x14ac:dyDescent="0.3">
      <c r="B4" s="1" t="s">
        <v>3</v>
      </c>
      <c r="C4" s="4">
        <v>5</v>
      </c>
      <c r="G4" s="1" t="s">
        <v>4</v>
      </c>
      <c r="H4" s="4" t="e">
        <f>COUNTIF([1]Test_Specification!C20:C992,"&lt;&gt;"&amp;"")</f>
        <v>#VALUE!</v>
      </c>
    </row>
    <row r="5" spans="1:9" x14ac:dyDescent="0.3">
      <c r="B5" s="1" t="s">
        <v>5</v>
      </c>
      <c r="C5" s="4">
        <v>5</v>
      </c>
      <c r="G5" s="1" t="s">
        <v>6</v>
      </c>
      <c r="H5" s="4" t="e">
        <f>COUNTIF([1]Test_Specification!C21:C993,"&lt;&gt;"&amp;"")</f>
        <v>#VALUE!</v>
      </c>
    </row>
    <row r="6" spans="1:9" x14ac:dyDescent="0.3">
      <c r="B6" s="1" t="s">
        <v>7</v>
      </c>
      <c r="C6" s="4">
        <v>5</v>
      </c>
      <c r="G6" s="1" t="s">
        <v>8</v>
      </c>
      <c r="H6" s="4">
        <v>5</v>
      </c>
    </row>
    <row r="7" spans="1:9" x14ac:dyDescent="0.3">
      <c r="B7" s="1" t="s">
        <v>9</v>
      </c>
      <c r="C7" s="4" t="e">
        <f>COUNTIF([1]Test_Specification!I:I,"FAIL")</f>
        <v>#VALUE!</v>
      </c>
      <c r="G7" s="1" t="s">
        <v>10</v>
      </c>
      <c r="H7" s="4" t="e">
        <f>COUNTIF([1]Test_Specification!I:I,"FAIL")</f>
        <v>#VALUE!</v>
      </c>
    </row>
    <row r="8" spans="1:9" x14ac:dyDescent="0.3">
      <c r="B8" s="1" t="s">
        <v>11</v>
      </c>
      <c r="C8" s="4" t="e">
        <f>COUNTIF([1]Test_Specification!K20:K992,"&lt;&gt;"&amp;"")</f>
        <v>#VALUE!</v>
      </c>
    </row>
    <row r="28" spans="2:6" x14ac:dyDescent="0.3">
      <c r="B28" s="54"/>
      <c r="C28" s="55"/>
      <c r="D28" s="55"/>
      <c r="E28" s="55"/>
      <c r="F28" s="56"/>
    </row>
    <row r="29" spans="2:6" x14ac:dyDescent="0.3">
      <c r="B29" s="57"/>
      <c r="C29" s="58"/>
      <c r="D29" s="58"/>
      <c r="E29" s="58"/>
      <c r="F29" s="59"/>
    </row>
    <row r="30" spans="2:6" x14ac:dyDescent="0.3">
      <c r="B30" s="57"/>
      <c r="C30" s="58"/>
      <c r="D30" s="58"/>
      <c r="E30" s="58"/>
      <c r="F30" s="59"/>
    </row>
    <row r="31" spans="2:6" x14ac:dyDescent="0.3">
      <c r="B31" s="57"/>
      <c r="C31" s="58"/>
      <c r="D31" s="58"/>
      <c r="E31" s="58"/>
      <c r="F31" s="59"/>
    </row>
    <row r="32" spans="2:6" x14ac:dyDescent="0.3">
      <c r="B32" s="57"/>
      <c r="C32" s="58"/>
      <c r="D32" s="58"/>
      <c r="E32" s="58"/>
      <c r="F32" s="59"/>
    </row>
    <row r="33" spans="2:6" x14ac:dyDescent="0.3">
      <c r="B33" s="60"/>
      <c r="C33" s="61"/>
      <c r="D33" s="61"/>
      <c r="E33" s="61"/>
      <c r="F33" s="62"/>
    </row>
  </sheetData>
  <mergeCells count="2">
    <mergeCell ref="A1:I1"/>
    <mergeCell ref="B28:F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C9CB-DF5A-49C8-8E26-93022EFE547E}">
  <dimension ref="A1:CO59"/>
  <sheetViews>
    <sheetView tabSelected="1" topLeftCell="A26" zoomScaleNormal="100" workbookViewId="0">
      <selection activeCell="D32" sqref="D32"/>
    </sheetView>
  </sheetViews>
  <sheetFormatPr defaultRowHeight="14.4" x14ac:dyDescent="0.3"/>
  <cols>
    <col min="2" max="2" width="24.33203125" customWidth="1"/>
    <col min="3" max="3" width="41.6640625" customWidth="1"/>
    <col min="4" max="4" width="45.5546875" customWidth="1"/>
    <col min="5" max="5" width="14.5546875" customWidth="1"/>
    <col min="6" max="6" width="43" customWidth="1"/>
    <col min="7" max="7" width="42.109375" customWidth="1"/>
    <col min="8" max="8" width="25.6640625" customWidth="1"/>
    <col min="9" max="9" width="47.109375" customWidth="1"/>
    <col min="10" max="10" width="39.5546875" style="2" customWidth="1"/>
    <col min="11" max="11" width="34.33203125" style="41" customWidth="1"/>
    <col min="12" max="12" width="27.88671875" customWidth="1"/>
    <col min="13" max="13" width="22" customWidth="1"/>
  </cols>
  <sheetData>
    <row r="1" spans="1:14" x14ac:dyDescent="0.3">
      <c r="A1" s="5"/>
      <c r="B1" s="5"/>
      <c r="C1" s="5"/>
      <c r="D1" s="5"/>
      <c r="E1" s="5"/>
      <c r="F1" s="5"/>
      <c r="G1" s="5"/>
      <c r="H1" s="5"/>
      <c r="I1" s="5"/>
      <c r="J1" s="6"/>
      <c r="K1" s="7"/>
      <c r="L1" s="5"/>
      <c r="M1" s="5"/>
      <c r="N1" s="5"/>
    </row>
    <row r="2" spans="1:14" ht="17.399999999999999" x14ac:dyDescent="0.3">
      <c r="A2" s="5"/>
      <c r="B2" s="5"/>
      <c r="C2" s="51"/>
      <c r="E2" s="8"/>
      <c r="F2" s="8"/>
      <c r="G2" s="8"/>
      <c r="H2" s="5"/>
      <c r="I2" s="5"/>
      <c r="J2" s="6"/>
      <c r="K2" s="7"/>
      <c r="L2" s="5"/>
      <c r="M2" s="5"/>
      <c r="N2" s="5"/>
    </row>
    <row r="3" spans="1:14" x14ac:dyDescent="0.3">
      <c r="A3" s="5"/>
      <c r="B3" s="5"/>
      <c r="C3" s="9"/>
      <c r="E3" s="10"/>
      <c r="F3" s="10"/>
      <c r="G3" s="10"/>
      <c r="H3" s="5"/>
      <c r="I3" s="5"/>
      <c r="J3" s="6"/>
      <c r="K3" s="7"/>
      <c r="L3" s="5"/>
      <c r="M3" s="5"/>
      <c r="N3" s="5"/>
    </row>
    <row r="4" spans="1:14" x14ac:dyDescent="0.3">
      <c r="A4" s="5"/>
      <c r="B4" s="5"/>
      <c r="C4" s="11"/>
      <c r="E4" s="10"/>
      <c r="F4" s="10"/>
      <c r="G4" s="10"/>
      <c r="H4" s="5"/>
      <c r="I4" s="5"/>
      <c r="J4" s="6"/>
      <c r="K4" s="7"/>
      <c r="L4" s="5"/>
      <c r="M4" s="5"/>
      <c r="N4" s="5"/>
    </row>
    <row r="5" spans="1:14" x14ac:dyDescent="0.3">
      <c r="A5" s="5"/>
      <c r="B5" s="5"/>
      <c r="C5" s="11"/>
      <c r="E5" s="10"/>
      <c r="F5" s="10"/>
      <c r="G5" s="10"/>
      <c r="H5" s="5"/>
      <c r="I5" s="5"/>
      <c r="J5" s="6"/>
      <c r="K5" s="7"/>
      <c r="L5" s="5"/>
      <c r="M5" s="5"/>
      <c r="N5" s="5"/>
    </row>
    <row r="6" spans="1:14" x14ac:dyDescent="0.3">
      <c r="A6" s="5"/>
      <c r="B6" s="5"/>
      <c r="C6" s="11"/>
      <c r="E6" s="10"/>
      <c r="F6" s="10"/>
      <c r="G6" s="10"/>
      <c r="H6" s="5"/>
      <c r="I6" s="5"/>
      <c r="J6" s="6"/>
      <c r="K6" s="7"/>
      <c r="L6" s="5"/>
      <c r="M6" s="5"/>
      <c r="N6" s="5"/>
    </row>
    <row r="7" spans="1:14" x14ac:dyDescent="0.3">
      <c r="A7" s="5"/>
      <c r="B7" s="5"/>
      <c r="C7" s="11"/>
      <c r="E7" s="10"/>
      <c r="F7" s="10"/>
      <c r="G7" s="10"/>
      <c r="H7" s="5"/>
      <c r="I7" s="5"/>
      <c r="J7" s="6"/>
      <c r="K7" s="7"/>
      <c r="L7" s="5"/>
      <c r="M7" s="5"/>
      <c r="N7" s="5"/>
    </row>
    <row r="8" spans="1:14" x14ac:dyDescent="0.3">
      <c r="A8" s="5"/>
      <c r="B8" s="5"/>
      <c r="C8" s="5"/>
      <c r="D8" s="5"/>
      <c r="E8" s="5"/>
      <c r="F8" s="5"/>
      <c r="G8" s="5"/>
      <c r="H8" s="5"/>
      <c r="I8" s="5"/>
      <c r="J8" s="6"/>
      <c r="K8" s="7"/>
      <c r="L8" s="5"/>
      <c r="M8" s="5"/>
      <c r="N8" s="5"/>
    </row>
    <row r="9" spans="1:14" ht="16.8" x14ac:dyDescent="0.3">
      <c r="A9" s="5"/>
      <c r="B9" s="5"/>
      <c r="C9" s="52"/>
      <c r="D9" s="5"/>
      <c r="E9" s="12"/>
      <c r="F9" s="12"/>
      <c r="G9" s="12"/>
      <c r="H9" s="5"/>
      <c r="I9" s="5"/>
      <c r="J9" s="6"/>
      <c r="K9" s="7"/>
      <c r="L9" s="5"/>
      <c r="M9" s="5"/>
      <c r="N9" s="5"/>
    </row>
    <row r="10" spans="1:14" x14ac:dyDescent="0.3">
      <c r="A10" s="5"/>
      <c r="B10" s="5"/>
      <c r="C10" s="13">
        <f>COUNTIF(H21:H24,"PASS")</f>
        <v>4</v>
      </c>
      <c r="E10" s="5"/>
      <c r="F10" s="5"/>
      <c r="G10" s="5"/>
      <c r="H10" s="5"/>
      <c r="I10" s="5"/>
      <c r="J10" s="6"/>
      <c r="K10" s="7"/>
      <c r="L10" s="5"/>
      <c r="M10" s="5"/>
      <c r="N10" s="5"/>
    </row>
    <row r="11" spans="1:14" x14ac:dyDescent="0.3">
      <c r="A11" s="5"/>
      <c r="B11" s="5"/>
      <c r="C11" s="14">
        <f>COUNTIF(H21:H24,"FAIL")</f>
        <v>0</v>
      </c>
      <c r="E11" s="5"/>
      <c r="F11" s="5"/>
      <c r="G11" s="5"/>
      <c r="H11" s="5"/>
      <c r="I11" s="5"/>
      <c r="J11" s="6"/>
      <c r="K11" s="7"/>
      <c r="L11" s="5"/>
      <c r="M11" s="5"/>
      <c r="N11" s="5"/>
    </row>
    <row r="12" spans="1:14" x14ac:dyDescent="0.3">
      <c r="A12" s="5"/>
      <c r="B12" s="5"/>
      <c r="C12" s="15">
        <f>COUNTIF(H21:H24,"BLOCKED")</f>
        <v>0</v>
      </c>
      <c r="E12" s="5"/>
      <c r="F12" s="5"/>
      <c r="G12" s="5"/>
      <c r="H12" s="5"/>
      <c r="I12" s="5"/>
      <c r="J12" s="6"/>
      <c r="K12" s="7"/>
      <c r="L12" s="5"/>
      <c r="M12" s="5"/>
      <c r="N12" s="5"/>
    </row>
    <row r="13" spans="1:14" x14ac:dyDescent="0.3">
      <c r="A13" s="5"/>
      <c r="B13" s="5"/>
      <c r="C13" s="16">
        <f>COUNTIF(H21:H24,"Not Tested")</f>
        <v>0</v>
      </c>
      <c r="E13" s="5"/>
      <c r="F13" s="5"/>
      <c r="G13" s="5"/>
      <c r="H13" s="5"/>
      <c r="I13" s="5"/>
      <c r="J13" s="6"/>
      <c r="K13" s="7"/>
      <c r="L13" s="5"/>
      <c r="M13" s="5"/>
      <c r="N13" s="5"/>
    </row>
    <row r="14" spans="1:14" x14ac:dyDescent="0.3">
      <c r="A14" s="5"/>
      <c r="B14" s="5"/>
      <c r="C14" s="17">
        <f>COUNTIF(H21:H24,"Not implemented")</f>
        <v>0</v>
      </c>
      <c r="E14" s="5"/>
      <c r="F14" s="5"/>
      <c r="G14" s="5"/>
      <c r="H14" s="5"/>
      <c r="I14" s="5"/>
      <c r="J14" s="6"/>
      <c r="K14" s="7"/>
      <c r="L14" s="5"/>
      <c r="M14" s="5"/>
      <c r="N14" s="5"/>
    </row>
    <row r="15" spans="1:14" x14ac:dyDescent="0.3">
      <c r="A15" s="5"/>
      <c r="B15" s="5"/>
      <c r="C15" s="18">
        <f>SUM(C10:C14)</f>
        <v>4</v>
      </c>
      <c r="E15" s="5"/>
      <c r="F15" s="5"/>
      <c r="G15" s="5"/>
      <c r="H15" s="5"/>
      <c r="I15" s="5"/>
      <c r="J15" s="6"/>
      <c r="K15" s="7"/>
      <c r="L15" s="5"/>
      <c r="M15" s="5"/>
      <c r="N15" s="5"/>
    </row>
    <row r="16" spans="1:14" x14ac:dyDescent="0.3">
      <c r="A16" s="5"/>
      <c r="B16" s="5"/>
      <c r="C16" s="19">
        <f>C10/C15</f>
        <v>1</v>
      </c>
      <c r="E16" s="5"/>
      <c r="F16" s="5"/>
      <c r="G16" s="5"/>
      <c r="H16" s="5"/>
      <c r="I16" s="5"/>
      <c r="J16" s="6"/>
      <c r="K16" s="7"/>
      <c r="L16" s="5"/>
      <c r="M16" s="5"/>
      <c r="N16" s="5"/>
    </row>
    <row r="17" spans="1:93" x14ac:dyDescent="0.3">
      <c r="A17" s="5"/>
      <c r="B17" s="5"/>
      <c r="C17" s="5"/>
      <c r="D17" s="5"/>
      <c r="E17" s="5"/>
      <c r="F17" s="5"/>
      <c r="G17" s="5"/>
      <c r="H17" s="5"/>
      <c r="I17" s="5"/>
      <c r="J17" s="6"/>
      <c r="K17" s="7"/>
      <c r="L17" s="5"/>
      <c r="M17" s="5"/>
      <c r="N17" s="5"/>
    </row>
    <row r="18" spans="1:93" x14ac:dyDescent="0.3">
      <c r="A18" s="5"/>
      <c r="B18" s="5"/>
      <c r="C18" s="5"/>
      <c r="D18" s="5"/>
      <c r="E18" s="5"/>
      <c r="F18" s="5"/>
      <c r="G18" s="5"/>
      <c r="H18" s="5"/>
      <c r="I18" s="5"/>
      <c r="J18" s="6"/>
      <c r="K18" s="7"/>
      <c r="L18" s="5"/>
      <c r="M18" s="5"/>
      <c r="N18" s="5"/>
    </row>
    <row r="19" spans="1:93" ht="15.6" x14ac:dyDescent="0.3">
      <c r="A19" s="20" t="s">
        <v>71</v>
      </c>
      <c r="B19" s="20" t="s">
        <v>13</v>
      </c>
      <c r="C19" s="20" t="s">
        <v>14</v>
      </c>
      <c r="D19" s="20" t="s">
        <v>16</v>
      </c>
      <c r="E19" s="20" t="s">
        <v>15</v>
      </c>
      <c r="F19" s="20" t="s">
        <v>17</v>
      </c>
      <c r="G19" s="20" t="s">
        <v>18</v>
      </c>
      <c r="H19" s="20" t="s">
        <v>19</v>
      </c>
      <c r="I19" s="21" t="s">
        <v>40</v>
      </c>
      <c r="J19" s="21" t="s">
        <v>20</v>
      </c>
      <c r="K19" s="21" t="s">
        <v>21</v>
      </c>
      <c r="L19" s="5"/>
      <c r="M19" s="5"/>
    </row>
    <row r="20" spans="1:93" ht="52.2" customHeight="1" x14ac:dyDescent="0.3">
      <c r="A20" s="26">
        <v>1</v>
      </c>
      <c r="B20" s="26" t="s">
        <v>41</v>
      </c>
      <c r="C20" s="26" t="s">
        <v>48</v>
      </c>
      <c r="D20" s="27" t="s">
        <v>49</v>
      </c>
      <c r="E20" s="26" t="s">
        <v>45</v>
      </c>
      <c r="F20" s="28" t="s">
        <v>50</v>
      </c>
      <c r="G20" s="28" t="s">
        <v>39</v>
      </c>
      <c r="H20" s="22" t="s">
        <v>22</v>
      </c>
      <c r="I20" s="38"/>
      <c r="J20" s="34"/>
      <c r="K20" s="35"/>
      <c r="L20" s="2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</row>
    <row r="21" spans="1:93" s="25" customFormat="1" ht="79.8" customHeight="1" x14ac:dyDescent="0.3">
      <c r="A21" s="26">
        <v>2</v>
      </c>
      <c r="B21" s="26" t="s">
        <v>41</v>
      </c>
      <c r="C21" s="26" t="s">
        <v>52</v>
      </c>
      <c r="D21" s="27" t="s">
        <v>51</v>
      </c>
      <c r="E21" s="26" t="s">
        <v>23</v>
      </c>
      <c r="F21" s="28" t="s">
        <v>53</v>
      </c>
      <c r="G21" s="28" t="s">
        <v>39</v>
      </c>
      <c r="H21" s="22" t="s">
        <v>22</v>
      </c>
      <c r="I21" s="28"/>
      <c r="J21" s="29"/>
      <c r="K21" s="27"/>
      <c r="L21" s="2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</row>
    <row r="22" spans="1:93" s="25" customFormat="1" ht="99.6" customHeight="1" x14ac:dyDescent="0.3">
      <c r="A22" s="26">
        <v>3</v>
      </c>
      <c r="B22" s="26" t="s">
        <v>41</v>
      </c>
      <c r="C22" s="26" t="s">
        <v>54</v>
      </c>
      <c r="D22" s="27" t="s">
        <v>55</v>
      </c>
      <c r="E22" s="26" t="s">
        <v>45</v>
      </c>
      <c r="F22" s="28" t="s">
        <v>56</v>
      </c>
      <c r="G22" s="28" t="s">
        <v>39</v>
      </c>
      <c r="H22" s="22" t="s">
        <v>22</v>
      </c>
      <c r="I22" s="30"/>
      <c r="J22" s="29"/>
      <c r="K22" s="27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</row>
    <row r="23" spans="1:93" s="25" customFormat="1" ht="99.6" customHeight="1" x14ac:dyDescent="0.3">
      <c r="A23" s="26">
        <v>4</v>
      </c>
      <c r="B23" s="26" t="s">
        <v>41</v>
      </c>
      <c r="C23" s="26" t="s">
        <v>58</v>
      </c>
      <c r="D23" s="27" t="s">
        <v>60</v>
      </c>
      <c r="E23" s="26" t="s">
        <v>23</v>
      </c>
      <c r="F23" s="28" t="s">
        <v>59</v>
      </c>
      <c r="G23" s="28" t="s">
        <v>39</v>
      </c>
      <c r="H23" s="22" t="s">
        <v>22</v>
      </c>
      <c r="I23" s="30"/>
      <c r="J23" s="29"/>
      <c r="K23" s="27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</row>
    <row r="24" spans="1:93" s="25" customFormat="1" ht="99.6" customHeight="1" x14ac:dyDescent="0.3">
      <c r="A24" s="26">
        <v>5</v>
      </c>
      <c r="B24" s="26" t="s">
        <v>41</v>
      </c>
      <c r="C24" s="26" t="s">
        <v>57</v>
      </c>
      <c r="D24" s="27" t="s">
        <v>61</v>
      </c>
      <c r="E24" s="26" t="s">
        <v>23</v>
      </c>
      <c r="F24" s="28" t="s">
        <v>62</v>
      </c>
      <c r="G24" s="28" t="s">
        <v>39</v>
      </c>
      <c r="H24" s="22" t="s">
        <v>22</v>
      </c>
      <c r="I24" s="30"/>
      <c r="J24" s="29"/>
      <c r="K24" s="27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</row>
    <row r="25" spans="1:93" ht="55.8" customHeight="1" x14ac:dyDescent="0.3">
      <c r="A25" s="26">
        <v>6</v>
      </c>
      <c r="B25" s="26" t="s">
        <v>41</v>
      </c>
      <c r="C25" s="26" t="s">
        <v>42</v>
      </c>
      <c r="D25" s="27" t="s">
        <v>43</v>
      </c>
      <c r="E25" s="26" t="s">
        <v>23</v>
      </c>
      <c r="F25" s="28" t="s">
        <v>44</v>
      </c>
      <c r="G25" s="28" t="s">
        <v>39</v>
      </c>
      <c r="H25" s="22" t="s">
        <v>22</v>
      </c>
      <c r="I25" s="38"/>
      <c r="J25" s="39"/>
      <c r="K25" s="40"/>
      <c r="L25" s="23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</row>
    <row r="26" spans="1:93" ht="67.8" customHeight="1" x14ac:dyDescent="0.3">
      <c r="A26" s="26">
        <v>7</v>
      </c>
      <c r="B26" s="26" t="s">
        <v>41</v>
      </c>
      <c r="C26" s="26" t="s">
        <v>63</v>
      </c>
      <c r="D26" s="27" t="s">
        <v>64</v>
      </c>
      <c r="E26" s="26" t="s">
        <v>23</v>
      </c>
      <c r="F26" s="28" t="s">
        <v>65</v>
      </c>
      <c r="G26" s="28" t="s">
        <v>39</v>
      </c>
      <c r="H26" s="22" t="s">
        <v>22</v>
      </c>
      <c r="I26" s="33"/>
      <c r="J26" s="34"/>
      <c r="K26" s="35"/>
      <c r="L26" s="23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</row>
    <row r="27" spans="1:93" ht="61.2" customHeight="1" x14ac:dyDescent="0.3">
      <c r="A27" s="26">
        <v>8</v>
      </c>
      <c r="B27" s="26" t="s">
        <v>41</v>
      </c>
      <c r="C27" s="26" t="s">
        <v>66</v>
      </c>
      <c r="D27" s="27" t="s">
        <v>67</v>
      </c>
      <c r="E27" s="26" t="s">
        <v>23</v>
      </c>
      <c r="F27" s="28" t="s">
        <v>68</v>
      </c>
      <c r="G27" s="28" t="s">
        <v>39</v>
      </c>
      <c r="H27" s="22" t="s">
        <v>22</v>
      </c>
      <c r="I27" s="38"/>
      <c r="J27" s="39"/>
      <c r="K27" s="40"/>
      <c r="L27" s="23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</row>
    <row r="28" spans="1:93" ht="60.6" customHeight="1" x14ac:dyDescent="0.3">
      <c r="A28" s="26">
        <v>9</v>
      </c>
      <c r="B28" s="26" t="s">
        <v>41</v>
      </c>
      <c r="C28" s="26" t="s">
        <v>69</v>
      </c>
      <c r="D28" s="27" t="s">
        <v>75</v>
      </c>
      <c r="E28" s="26" t="s">
        <v>23</v>
      </c>
      <c r="F28" s="28" t="s">
        <v>72</v>
      </c>
      <c r="G28" s="28" t="s">
        <v>39</v>
      </c>
      <c r="H28" s="22" t="s">
        <v>22</v>
      </c>
      <c r="I28" s="33"/>
      <c r="J28" s="34"/>
      <c r="K28" s="35"/>
      <c r="L28" s="23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</row>
    <row r="29" spans="1:93" ht="56.4" customHeight="1" x14ac:dyDescent="0.3">
      <c r="A29" s="26">
        <v>10</v>
      </c>
      <c r="B29" s="26" t="s">
        <v>41</v>
      </c>
      <c r="C29" s="26" t="s">
        <v>70</v>
      </c>
      <c r="D29" s="27" t="s">
        <v>74</v>
      </c>
      <c r="E29" s="26" t="s">
        <v>23</v>
      </c>
      <c r="F29" s="28" t="s">
        <v>73</v>
      </c>
      <c r="G29" s="28" t="s">
        <v>39</v>
      </c>
      <c r="H29" s="22" t="s">
        <v>22</v>
      </c>
      <c r="I29" s="38"/>
      <c r="J29" s="39"/>
      <c r="K29" s="40"/>
      <c r="L29" s="23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</row>
    <row r="30" spans="1:93" ht="15.6" x14ac:dyDescent="0.3">
      <c r="A30" s="31"/>
      <c r="B30" s="31"/>
      <c r="C30" s="31"/>
      <c r="D30" s="37"/>
      <c r="E30" s="31"/>
      <c r="F30" s="31"/>
      <c r="G30" s="31"/>
      <c r="H30" s="32"/>
      <c r="I30" s="33"/>
      <c r="J30" s="34"/>
      <c r="K30" s="35"/>
      <c r="L30" s="23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</row>
    <row r="31" spans="1:93" ht="15.6" x14ac:dyDescent="0.3">
      <c r="A31" s="36"/>
      <c r="B31" s="36"/>
      <c r="C31" s="36"/>
      <c r="D31" s="37"/>
      <c r="E31" s="37"/>
      <c r="F31" s="37"/>
      <c r="G31" s="37"/>
      <c r="H31" s="32"/>
      <c r="I31" s="38"/>
      <c r="J31" s="39"/>
      <c r="K31" s="40"/>
      <c r="L31" s="23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</row>
    <row r="32" spans="1:93" ht="15.6" x14ac:dyDescent="0.3">
      <c r="A32" s="31"/>
      <c r="B32" s="31"/>
      <c r="C32" s="31"/>
      <c r="D32" s="31"/>
      <c r="E32" s="31"/>
      <c r="F32" s="31"/>
      <c r="G32" s="31"/>
      <c r="H32" s="32"/>
      <c r="I32" s="33"/>
      <c r="J32" s="34"/>
      <c r="K32" s="35"/>
      <c r="L32" s="23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</row>
    <row r="33" spans="1:93" ht="15.6" x14ac:dyDescent="0.3">
      <c r="A33" s="36"/>
      <c r="B33" s="36"/>
      <c r="C33" s="36"/>
      <c r="D33" s="37"/>
      <c r="E33" s="37"/>
      <c r="F33" s="37"/>
      <c r="G33" s="37"/>
      <c r="H33" s="32"/>
      <c r="I33" s="38"/>
      <c r="J33" s="39"/>
      <c r="K33" s="40"/>
      <c r="L33" s="23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</row>
    <row r="34" spans="1:93" ht="15.6" x14ac:dyDescent="0.3">
      <c r="A34" s="31"/>
      <c r="B34" s="31"/>
      <c r="C34" s="31"/>
      <c r="D34" s="31"/>
      <c r="E34" s="31"/>
      <c r="F34" s="31"/>
      <c r="G34" s="31"/>
      <c r="H34" s="32"/>
      <c r="I34" s="33"/>
      <c r="J34" s="34"/>
      <c r="K34" s="35"/>
      <c r="L34" s="23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</row>
    <row r="35" spans="1:93" ht="15.6" x14ac:dyDescent="0.3">
      <c r="A35" s="36"/>
      <c r="B35" s="36"/>
      <c r="C35" s="36"/>
      <c r="D35" s="37"/>
      <c r="E35" s="37"/>
      <c r="F35" s="37"/>
      <c r="G35" s="37"/>
      <c r="H35" s="32"/>
      <c r="I35" s="38"/>
      <c r="J35" s="39"/>
      <c r="K35" s="40"/>
      <c r="L35" s="23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</row>
    <row r="36" spans="1:93" ht="15.6" x14ac:dyDescent="0.3">
      <c r="A36" s="31"/>
      <c r="B36" s="31"/>
      <c r="C36" s="31"/>
      <c r="D36" s="31"/>
      <c r="E36" s="31"/>
      <c r="F36" s="31"/>
      <c r="G36" s="31"/>
      <c r="H36" s="32"/>
      <c r="I36" s="33"/>
      <c r="J36" s="34"/>
      <c r="K36" s="35"/>
      <c r="L36" s="23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</row>
    <row r="37" spans="1:93" ht="15.6" x14ac:dyDescent="0.3">
      <c r="A37" s="36"/>
      <c r="B37" s="36"/>
      <c r="C37" s="36"/>
      <c r="D37" s="37"/>
      <c r="E37" s="37"/>
      <c r="F37" s="37"/>
      <c r="G37" s="37"/>
      <c r="H37" s="32"/>
      <c r="I37" s="38"/>
      <c r="J37" s="39"/>
      <c r="K37" s="40"/>
      <c r="L37" s="23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</row>
    <row r="38" spans="1:93" ht="15.6" x14ac:dyDescent="0.3">
      <c r="A38" s="31"/>
      <c r="B38" s="31"/>
      <c r="C38" s="31"/>
      <c r="D38" s="31"/>
      <c r="E38" s="31"/>
      <c r="F38" s="31"/>
      <c r="G38" s="31"/>
      <c r="H38" s="32"/>
      <c r="I38" s="33"/>
      <c r="J38" s="34"/>
      <c r="K38" s="35"/>
      <c r="L38" s="23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</row>
    <row r="39" spans="1:93" ht="15.6" x14ac:dyDescent="0.3">
      <c r="A39" s="36"/>
      <c r="B39" s="36"/>
      <c r="C39" s="36"/>
      <c r="D39" s="37"/>
      <c r="E39" s="37"/>
      <c r="F39" s="37"/>
      <c r="G39" s="37"/>
      <c r="H39" s="32"/>
      <c r="I39" s="38"/>
      <c r="J39" s="39"/>
      <c r="K39" s="40"/>
      <c r="L39" s="23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</row>
    <row r="40" spans="1:93" ht="15.6" x14ac:dyDescent="0.3">
      <c r="A40" s="31"/>
      <c r="B40" s="31"/>
      <c r="C40" s="31"/>
      <c r="D40" s="31"/>
      <c r="E40" s="31"/>
      <c r="F40" s="31"/>
      <c r="G40" s="31"/>
      <c r="H40" s="32"/>
      <c r="I40" s="33"/>
      <c r="J40" s="34"/>
      <c r="K40" s="35"/>
      <c r="L40" s="23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</row>
    <row r="41" spans="1:93" ht="15.6" x14ac:dyDescent="0.3">
      <c r="A41" s="36"/>
      <c r="B41" s="36"/>
      <c r="C41" s="36"/>
      <c r="D41" s="37"/>
      <c r="E41" s="37"/>
      <c r="F41" s="37"/>
      <c r="G41" s="37"/>
      <c r="H41" s="32"/>
      <c r="I41" s="38"/>
      <c r="J41" s="39"/>
      <c r="K41" s="40"/>
      <c r="L41" s="23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</row>
    <row r="42" spans="1:93" ht="15.6" x14ac:dyDescent="0.3">
      <c r="A42" s="31"/>
      <c r="B42" s="31"/>
      <c r="C42" s="31"/>
      <c r="D42" s="31"/>
      <c r="E42" s="31"/>
      <c r="F42" s="31"/>
      <c r="G42" s="31"/>
      <c r="H42" s="32"/>
      <c r="I42" s="33"/>
      <c r="J42" s="34"/>
      <c r="K42" s="35"/>
      <c r="L42" s="23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</row>
    <row r="43" spans="1:93" ht="15.6" x14ac:dyDescent="0.3">
      <c r="A43" s="36"/>
      <c r="B43" s="36"/>
      <c r="C43" s="36"/>
      <c r="D43" s="37"/>
      <c r="E43" s="37"/>
      <c r="F43" s="37"/>
      <c r="G43" s="37"/>
      <c r="H43" s="32"/>
      <c r="I43" s="38"/>
      <c r="J43" s="39"/>
      <c r="K43" s="40"/>
      <c r="L43" s="23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</row>
    <row r="44" spans="1:93" ht="15.6" x14ac:dyDescent="0.3">
      <c r="A44" s="31"/>
      <c r="B44" s="31"/>
      <c r="C44" s="31"/>
      <c r="D44" s="31"/>
      <c r="E44" s="31"/>
      <c r="F44" s="31"/>
      <c r="G44" s="31"/>
      <c r="H44" s="32"/>
      <c r="I44" s="33"/>
      <c r="J44" s="34"/>
      <c r="K44" s="35"/>
      <c r="L44" s="23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</row>
    <row r="45" spans="1:93" ht="15.6" x14ac:dyDescent="0.3">
      <c r="A45" s="36"/>
      <c r="B45" s="36"/>
      <c r="C45" s="36"/>
      <c r="D45" s="37"/>
      <c r="E45" s="37"/>
      <c r="F45" s="37"/>
      <c r="G45" s="37"/>
      <c r="H45" s="32"/>
      <c r="I45" s="38"/>
      <c r="J45" s="39"/>
      <c r="K45" s="40"/>
      <c r="L45" s="23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</row>
    <row r="46" spans="1:93" ht="15.6" x14ac:dyDescent="0.3">
      <c r="A46" s="31"/>
      <c r="B46" s="31"/>
      <c r="C46" s="31"/>
      <c r="D46" s="31"/>
      <c r="E46" s="31"/>
      <c r="F46" s="31"/>
      <c r="G46" s="31"/>
      <c r="H46" s="32"/>
      <c r="I46" s="33"/>
      <c r="J46" s="34"/>
      <c r="K46" s="35"/>
      <c r="L46" s="23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</row>
    <row r="47" spans="1:93" ht="15.6" x14ac:dyDescent="0.3">
      <c r="A47" s="36"/>
      <c r="B47" s="36"/>
      <c r="C47" s="36"/>
      <c r="D47" s="37"/>
      <c r="E47" s="37"/>
      <c r="F47" s="37"/>
      <c r="G47" s="37"/>
      <c r="H47" s="32"/>
      <c r="I47" s="38"/>
      <c r="J47" s="39"/>
      <c r="K47" s="40"/>
      <c r="L47" s="23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</row>
    <row r="48" spans="1:93" ht="15.6" x14ac:dyDescent="0.3">
      <c r="A48" s="31"/>
      <c r="B48" s="31"/>
      <c r="C48" s="31"/>
      <c r="D48" s="31"/>
      <c r="E48" s="31"/>
      <c r="F48" s="31"/>
      <c r="G48" s="31"/>
      <c r="H48" s="32"/>
      <c r="I48" s="33"/>
      <c r="J48" s="34"/>
      <c r="K48" s="35"/>
    </row>
    <row r="49" spans="1:11" ht="15.6" x14ac:dyDescent="0.3">
      <c r="A49" s="36"/>
      <c r="B49" s="36"/>
      <c r="C49" s="36"/>
      <c r="D49" s="37"/>
      <c r="E49" s="37"/>
      <c r="F49" s="37"/>
      <c r="G49" s="37"/>
      <c r="H49" s="32"/>
      <c r="I49" s="38"/>
      <c r="J49" s="39"/>
      <c r="K49" s="40"/>
    </row>
    <row r="50" spans="1:11" ht="15.6" x14ac:dyDescent="0.3">
      <c r="A50" s="31"/>
      <c r="B50" s="31"/>
      <c r="C50" s="31"/>
      <c r="D50" s="31"/>
      <c r="E50" s="31"/>
      <c r="F50" s="31"/>
      <c r="G50" s="31"/>
      <c r="H50" s="32"/>
      <c r="I50" s="33"/>
      <c r="J50" s="34"/>
      <c r="K50" s="35"/>
    </row>
    <row r="51" spans="1:11" ht="15.6" x14ac:dyDescent="0.3">
      <c r="A51" s="36"/>
      <c r="B51" s="36"/>
      <c r="C51" s="36"/>
      <c r="D51" s="37"/>
      <c r="E51" s="37"/>
      <c r="F51" s="37"/>
      <c r="G51" s="37"/>
      <c r="H51" s="32"/>
      <c r="I51" s="38"/>
      <c r="J51" s="39"/>
      <c r="K51" s="40"/>
    </row>
    <row r="52" spans="1:11" ht="15.6" x14ac:dyDescent="0.3">
      <c r="A52" s="31"/>
      <c r="B52" s="31"/>
      <c r="C52" s="31"/>
      <c r="D52" s="31"/>
      <c r="E52" s="31"/>
      <c r="F52" s="31"/>
      <c r="G52" s="31"/>
      <c r="H52" s="32"/>
      <c r="I52" s="33"/>
      <c r="J52" s="34"/>
      <c r="K52" s="35"/>
    </row>
    <row r="53" spans="1:11" ht="15.6" x14ac:dyDescent="0.3">
      <c r="A53" s="36"/>
      <c r="B53" s="36"/>
      <c r="C53" s="36"/>
      <c r="D53" s="37"/>
      <c r="E53" s="37"/>
      <c r="F53" s="37"/>
      <c r="G53" s="37"/>
      <c r="H53" s="32"/>
      <c r="I53" s="38"/>
      <c r="J53" s="39"/>
      <c r="K53" s="40"/>
    </row>
    <row r="54" spans="1:11" ht="15.6" x14ac:dyDescent="0.3">
      <c r="A54" s="31"/>
      <c r="B54" s="31"/>
      <c r="C54" s="31"/>
      <c r="D54" s="31"/>
      <c r="E54" s="31"/>
      <c r="F54" s="31"/>
      <c r="G54" s="31"/>
      <c r="H54" s="32"/>
      <c r="I54" s="33"/>
      <c r="J54" s="34"/>
      <c r="K54" s="35"/>
    </row>
    <row r="55" spans="1:11" ht="15.6" x14ac:dyDescent="0.3">
      <c r="A55" s="36"/>
      <c r="B55" s="36"/>
      <c r="C55" s="36"/>
      <c r="D55" s="37"/>
      <c r="E55" s="37"/>
      <c r="F55" s="37"/>
      <c r="G55" s="37"/>
      <c r="H55" s="32"/>
      <c r="I55" s="38"/>
      <c r="J55" s="39"/>
      <c r="K55" s="40"/>
    </row>
    <row r="56" spans="1:11" ht="15.6" x14ac:dyDescent="0.3">
      <c r="A56" s="31"/>
      <c r="B56" s="31"/>
      <c r="C56" s="31"/>
      <c r="D56" s="31"/>
      <c r="E56" s="31"/>
      <c r="F56" s="31"/>
      <c r="G56" s="31"/>
      <c r="H56" s="32"/>
      <c r="I56" s="33"/>
      <c r="J56" s="34"/>
      <c r="K56" s="35"/>
    </row>
    <row r="57" spans="1:11" ht="15.6" x14ac:dyDescent="0.3">
      <c r="A57" s="36"/>
      <c r="B57" s="36"/>
      <c r="C57" s="36"/>
      <c r="D57" s="37"/>
      <c r="E57" s="37"/>
      <c r="F57" s="37"/>
      <c r="G57" s="37"/>
      <c r="H57" s="32"/>
      <c r="I57" s="38"/>
      <c r="J57" s="39"/>
      <c r="K57" s="40"/>
    </row>
    <row r="58" spans="1:11" ht="15.6" x14ac:dyDescent="0.3">
      <c r="A58" s="31"/>
      <c r="B58" s="31"/>
      <c r="C58" s="31"/>
      <c r="D58" s="31"/>
      <c r="E58" s="31"/>
      <c r="F58" s="31"/>
      <c r="G58" s="31"/>
      <c r="H58" s="32"/>
      <c r="I58" s="33"/>
      <c r="J58" s="34"/>
      <c r="K58" s="35"/>
    </row>
    <row r="59" spans="1:11" ht="15.6" x14ac:dyDescent="0.3">
      <c r="A59" s="36"/>
      <c r="B59" s="36"/>
      <c r="C59" s="36"/>
      <c r="D59" s="37"/>
      <c r="E59" s="37"/>
      <c r="F59" s="37"/>
      <c r="G59" s="37"/>
      <c r="H59" s="32"/>
      <c r="I59" s="38"/>
      <c r="J59" s="39"/>
      <c r="K59" s="40"/>
    </row>
  </sheetData>
  <phoneticPr fontId="32" type="noConversion"/>
  <conditionalFormatting sqref="H20 H25:H29 H31 H33 H35 H37 H39 H41 H43 H45 H47 H49 H51 H53 H55 H57 H59">
    <cfRule type="cellIs" dxfId="6" priority="7" operator="equal">
      <formula>"Not Tested"</formula>
    </cfRule>
  </conditionalFormatting>
  <conditionalFormatting sqref="H20:H59">
    <cfRule type="cellIs" dxfId="5" priority="8" operator="equal">
      <formula>"NA"</formula>
    </cfRule>
    <cfRule type="cellIs" dxfId="4" priority="9" operator="equal">
      <formula>"FAIL"</formula>
    </cfRule>
    <cfRule type="cellIs" dxfId="3" priority="10" operator="equal">
      <formula>"PASS"</formula>
    </cfRule>
    <cfRule type="cellIs" dxfId="2" priority="11" operator="equal">
      <formula>"Not Run"</formula>
    </cfRule>
    <cfRule type="cellIs" dxfId="1" priority="12" operator="equal">
      <formula>"FAIL"</formula>
    </cfRule>
    <cfRule type="cellIs" dxfId="0" priority="13" operator="equal">
      <formula>"PASS"</formula>
    </cfRule>
  </conditionalFormatting>
  <dataValidations count="1">
    <dataValidation type="list" allowBlank="1" showInputMessage="1" showErrorMessage="1" sqref="H20:H59" xr:uid="{885DCFA3-92C5-4EC4-A611-BBD1C74CBE69}">
      <formula1>"PASS,FAIL,Not Tested,NA, Not implemented"</formula1>
    </dataValidation>
  </dataValidation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9" r:id="rId4">
          <objectPr defaultSize="0" r:id="rId5">
            <anchor moveWithCells="1">
              <from>
                <xdr:col>8</xdr:col>
                <xdr:colOff>868680</xdr:colOff>
                <xdr:row>23</xdr:row>
                <xdr:rowOff>129540</xdr:rowOff>
              </from>
              <to>
                <xdr:col>8</xdr:col>
                <xdr:colOff>2324100</xdr:colOff>
                <xdr:row>23</xdr:row>
                <xdr:rowOff>647700</xdr:rowOff>
              </to>
            </anchor>
          </objectPr>
        </oleObject>
      </mc:Choice>
      <mc:Fallback>
        <oleObject progId="Packager Shell Object" dvAspect="DVASPECT_ICON" shapeId="1029" r:id="rId4"/>
      </mc:Fallback>
    </mc:AlternateContent>
    <mc:AlternateContent xmlns:mc="http://schemas.openxmlformats.org/markup-compatibility/2006">
      <mc:Choice Requires="x14">
        <oleObject progId="Packager Shell Object" dvAspect="DVASPECT_ICON" shapeId="1031" r:id="rId6">
          <objectPr defaultSize="0" r:id="rId7">
            <anchor moveWithCells="1">
              <from>
                <xdr:col>8</xdr:col>
                <xdr:colOff>701040</xdr:colOff>
                <xdr:row>24</xdr:row>
                <xdr:rowOff>99060</xdr:rowOff>
              </from>
              <to>
                <xdr:col>8</xdr:col>
                <xdr:colOff>2133600</xdr:colOff>
                <xdr:row>24</xdr:row>
                <xdr:rowOff>617220</xdr:rowOff>
              </to>
            </anchor>
          </objectPr>
        </oleObject>
      </mc:Choice>
      <mc:Fallback>
        <oleObject progId="Packager Shell Object" dvAspect="DVASPECT_ICON" shapeId="1031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34" r:id="rId8">
          <objectPr defaultSize="0" r:id="rId9">
            <anchor moveWithCells="1">
              <from>
                <xdr:col>8</xdr:col>
                <xdr:colOff>670560</xdr:colOff>
                <xdr:row>19</xdr:row>
                <xdr:rowOff>60960</xdr:rowOff>
              </from>
              <to>
                <xdr:col>8</xdr:col>
                <xdr:colOff>1638300</xdr:colOff>
                <xdr:row>19</xdr:row>
                <xdr:rowOff>579120</xdr:rowOff>
              </to>
            </anchor>
          </objectPr>
        </oleObject>
      </mc:Choice>
      <mc:Fallback>
        <oleObject progId="Packager Shell Object" dvAspect="DVASPECT_ICON" shapeId="1034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35" r:id="rId10">
          <objectPr defaultSize="0" r:id="rId11">
            <anchor moveWithCells="1">
              <from>
                <xdr:col>8</xdr:col>
                <xdr:colOff>739140</xdr:colOff>
                <xdr:row>20</xdr:row>
                <xdr:rowOff>236220</xdr:rowOff>
              </from>
              <to>
                <xdr:col>8</xdr:col>
                <xdr:colOff>1699260</xdr:colOff>
                <xdr:row>20</xdr:row>
                <xdr:rowOff>754380</xdr:rowOff>
              </to>
            </anchor>
          </objectPr>
        </oleObject>
      </mc:Choice>
      <mc:Fallback>
        <oleObject progId="Packager Shell Object" dvAspect="DVASPECT_ICON" shapeId="1035" r:id="rId10"/>
      </mc:Fallback>
    </mc:AlternateContent>
    <mc:AlternateContent xmlns:mc="http://schemas.openxmlformats.org/markup-compatibility/2006">
      <mc:Choice Requires="x14">
        <oleObject progId="Packager Shell Object" dvAspect="DVASPECT_ICON" shapeId="1036" r:id="rId12">
          <objectPr defaultSize="0" r:id="rId13">
            <anchor moveWithCells="1">
              <from>
                <xdr:col>8</xdr:col>
                <xdr:colOff>640080</xdr:colOff>
                <xdr:row>21</xdr:row>
                <xdr:rowOff>434340</xdr:rowOff>
              </from>
              <to>
                <xdr:col>8</xdr:col>
                <xdr:colOff>2255520</xdr:colOff>
                <xdr:row>21</xdr:row>
                <xdr:rowOff>952500</xdr:rowOff>
              </to>
            </anchor>
          </objectPr>
        </oleObject>
      </mc:Choice>
      <mc:Fallback>
        <oleObject progId="Packager Shell Object" dvAspect="DVASPECT_ICON" shapeId="1036" r:id="rId12"/>
      </mc:Fallback>
    </mc:AlternateContent>
    <mc:AlternateContent xmlns:mc="http://schemas.openxmlformats.org/markup-compatibility/2006">
      <mc:Choice Requires="x14">
        <oleObject progId="Packager Shell Object" dvAspect="DVASPECT_ICON" shapeId="1037" r:id="rId14">
          <objectPr defaultSize="0" r:id="rId15">
            <anchor moveWithCells="1">
              <from>
                <xdr:col>8</xdr:col>
                <xdr:colOff>754380</xdr:colOff>
                <xdr:row>22</xdr:row>
                <xdr:rowOff>304800</xdr:rowOff>
              </from>
              <to>
                <xdr:col>8</xdr:col>
                <xdr:colOff>2674620</xdr:colOff>
                <xdr:row>22</xdr:row>
                <xdr:rowOff>822960</xdr:rowOff>
              </to>
            </anchor>
          </objectPr>
        </oleObject>
      </mc:Choice>
      <mc:Fallback>
        <oleObject progId="Packager Shell Object" dvAspect="DVASPECT_ICON" shapeId="1037" r:id="rId14"/>
      </mc:Fallback>
    </mc:AlternateContent>
    <mc:AlternateContent xmlns:mc="http://schemas.openxmlformats.org/markup-compatibility/2006">
      <mc:Choice Requires="x14">
        <oleObject progId="Packager Shell Object" dvAspect="DVASPECT_ICON" shapeId="1039" r:id="rId16">
          <objectPr defaultSize="0" autoPict="0" r:id="rId17">
            <anchor moveWithCells="1">
              <from>
                <xdr:col>8</xdr:col>
                <xdr:colOff>762000</xdr:colOff>
                <xdr:row>25</xdr:row>
                <xdr:rowOff>121920</xdr:rowOff>
              </from>
              <to>
                <xdr:col>8</xdr:col>
                <xdr:colOff>1836420</xdr:colOff>
                <xdr:row>25</xdr:row>
                <xdr:rowOff>739140</xdr:rowOff>
              </to>
            </anchor>
          </objectPr>
        </oleObject>
      </mc:Choice>
      <mc:Fallback>
        <oleObject progId="Packager Shell Object" dvAspect="DVASPECT_ICON" shapeId="1039" r:id="rId16"/>
      </mc:Fallback>
    </mc:AlternateContent>
    <mc:AlternateContent xmlns:mc="http://schemas.openxmlformats.org/markup-compatibility/2006">
      <mc:Choice Requires="x14">
        <oleObject progId="Packager Shell Object" dvAspect="DVASPECT_ICON" shapeId="1042" r:id="rId18">
          <objectPr defaultSize="0" r:id="rId19">
            <anchor moveWithCells="1">
              <from>
                <xdr:col>8</xdr:col>
                <xdr:colOff>655320</xdr:colOff>
                <xdr:row>26</xdr:row>
                <xdr:rowOff>152400</xdr:rowOff>
              </from>
              <to>
                <xdr:col>8</xdr:col>
                <xdr:colOff>2674620</xdr:colOff>
                <xdr:row>26</xdr:row>
                <xdr:rowOff>670560</xdr:rowOff>
              </to>
            </anchor>
          </objectPr>
        </oleObject>
      </mc:Choice>
      <mc:Fallback>
        <oleObject progId="Packager Shell Object" dvAspect="DVASPECT_ICON" shapeId="1042" r:id="rId18"/>
      </mc:Fallback>
    </mc:AlternateContent>
    <mc:AlternateContent xmlns:mc="http://schemas.openxmlformats.org/markup-compatibility/2006">
      <mc:Choice Requires="x14">
        <oleObject progId="Packager Shell Object" shapeId="1044" r:id="rId20">
          <objectPr defaultSize="0" r:id="rId21">
            <anchor moveWithCells="1">
              <from>
                <xdr:col>8</xdr:col>
                <xdr:colOff>655320</xdr:colOff>
                <xdr:row>27</xdr:row>
                <xdr:rowOff>152400</xdr:rowOff>
              </from>
              <to>
                <xdr:col>8</xdr:col>
                <xdr:colOff>2103120</xdr:colOff>
                <xdr:row>27</xdr:row>
                <xdr:rowOff>670560</xdr:rowOff>
              </to>
            </anchor>
          </objectPr>
        </oleObject>
      </mc:Choice>
      <mc:Fallback>
        <oleObject progId="Packager Shell Object" shapeId="1044" r:id="rId20"/>
      </mc:Fallback>
    </mc:AlternateContent>
    <mc:AlternateContent xmlns:mc="http://schemas.openxmlformats.org/markup-compatibility/2006">
      <mc:Choice Requires="x14">
        <oleObject progId="Packager Shell Object" dvAspect="DVASPECT_ICON" shapeId="1046" r:id="rId22">
          <objectPr defaultSize="0" r:id="rId23">
            <anchor moveWithCells="1">
              <from>
                <xdr:col>8</xdr:col>
                <xdr:colOff>1104900</xdr:colOff>
                <xdr:row>28</xdr:row>
                <xdr:rowOff>114300</xdr:rowOff>
              </from>
              <to>
                <xdr:col>8</xdr:col>
                <xdr:colOff>2026920</xdr:colOff>
                <xdr:row>28</xdr:row>
                <xdr:rowOff>632460</xdr:rowOff>
              </to>
            </anchor>
          </objectPr>
        </oleObject>
      </mc:Choice>
      <mc:Fallback>
        <oleObject progId="Packager Shell Object" dvAspect="DVASPECT_ICON" shapeId="1046" r:id="rId22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BB0F-5FBF-4553-BB45-EA44DBD4B56E}">
  <dimension ref="A1:M9"/>
  <sheetViews>
    <sheetView workbookViewId="0">
      <selection activeCell="H18" sqref="H18"/>
    </sheetView>
  </sheetViews>
  <sheetFormatPr defaultColWidth="9.109375" defaultRowHeight="13.8" x14ac:dyDescent="0.25"/>
  <cols>
    <col min="1" max="1" width="9.109375" style="45"/>
    <col min="2" max="16384" width="9.109375" style="42"/>
  </cols>
  <sheetData>
    <row r="1" spans="1:13" ht="21" x14ac:dyDescent="0.25">
      <c r="A1" s="70" t="s">
        <v>24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3" spans="1:13" ht="17.399999999999999" x14ac:dyDescent="0.25">
      <c r="A3" s="43"/>
      <c r="B3" s="44"/>
      <c r="C3" s="72" t="s">
        <v>25</v>
      </c>
      <c r="D3" s="72"/>
      <c r="E3" s="72"/>
      <c r="F3" s="72"/>
      <c r="G3" s="72"/>
      <c r="H3" s="72"/>
      <c r="I3" s="72"/>
      <c r="J3" s="72"/>
      <c r="K3" s="72"/>
      <c r="L3" s="72"/>
      <c r="M3" s="72"/>
    </row>
    <row r="5" spans="1:13" ht="15.6" x14ac:dyDescent="0.3">
      <c r="B5" s="46" t="s">
        <v>26</v>
      </c>
      <c r="D5" s="46"/>
    </row>
    <row r="6" spans="1:13" x14ac:dyDescent="0.25">
      <c r="B6" s="47" t="s">
        <v>27</v>
      </c>
      <c r="C6" s="73" t="s">
        <v>28</v>
      </c>
      <c r="D6" s="74"/>
      <c r="E6" s="75" t="s">
        <v>29</v>
      </c>
      <c r="F6" s="76"/>
      <c r="G6" s="76"/>
      <c r="H6" s="75" t="s">
        <v>30</v>
      </c>
      <c r="I6" s="76"/>
      <c r="J6" s="76"/>
      <c r="K6" s="76"/>
      <c r="L6" s="76"/>
      <c r="M6" s="77"/>
    </row>
    <row r="7" spans="1:13" x14ac:dyDescent="0.25">
      <c r="B7" s="48">
        <v>1</v>
      </c>
      <c r="C7" s="63" t="s">
        <v>46</v>
      </c>
      <c r="D7" s="64"/>
      <c r="E7" s="65" t="s">
        <v>0</v>
      </c>
      <c r="F7" s="66"/>
      <c r="G7" s="66"/>
      <c r="H7" s="67" t="s">
        <v>47</v>
      </c>
      <c r="I7" s="68"/>
      <c r="J7" s="68"/>
      <c r="K7" s="68"/>
      <c r="L7" s="68"/>
      <c r="M7" s="69"/>
    </row>
    <row r="8" spans="1:13" x14ac:dyDescent="0.25">
      <c r="B8" s="48"/>
      <c r="C8" s="63"/>
      <c r="D8" s="64"/>
      <c r="E8" s="65"/>
      <c r="F8" s="66"/>
      <c r="G8" s="66"/>
      <c r="H8" s="67"/>
      <c r="I8" s="68"/>
      <c r="J8" s="68"/>
      <c r="K8" s="68"/>
      <c r="L8" s="68"/>
      <c r="M8" s="69"/>
    </row>
    <row r="9" spans="1:13" x14ac:dyDescent="0.25">
      <c r="B9" s="48"/>
      <c r="C9" s="63"/>
      <c r="D9" s="64"/>
      <c r="E9" s="65"/>
      <c r="F9" s="66"/>
      <c r="G9" s="66"/>
      <c r="H9" s="67"/>
      <c r="I9" s="68"/>
      <c r="J9" s="68"/>
      <c r="K9" s="68"/>
      <c r="L9" s="68"/>
      <c r="M9" s="69"/>
    </row>
  </sheetData>
  <mergeCells count="14">
    <mergeCell ref="C8:D8"/>
    <mergeCell ref="E8:G8"/>
    <mergeCell ref="H8:M8"/>
    <mergeCell ref="C9:D9"/>
    <mergeCell ref="E9:G9"/>
    <mergeCell ref="H9:M9"/>
    <mergeCell ref="C7:D7"/>
    <mergeCell ref="E7:G7"/>
    <mergeCell ref="H7:M7"/>
    <mergeCell ref="A1:M1"/>
    <mergeCell ref="C3:M3"/>
    <mergeCell ref="C6:D6"/>
    <mergeCell ref="E6:G6"/>
    <mergeCell ref="H6:M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97B6-EB18-4CCA-A1CE-21CBCBBB16D1}">
  <dimension ref="A1:M9"/>
  <sheetViews>
    <sheetView workbookViewId="0">
      <selection activeCell="H31" sqref="H31"/>
    </sheetView>
  </sheetViews>
  <sheetFormatPr defaultColWidth="9.109375" defaultRowHeight="14.4" x14ac:dyDescent="0.3"/>
  <cols>
    <col min="3" max="3" width="11.5546875" customWidth="1"/>
  </cols>
  <sheetData>
    <row r="1" spans="1:13" s="41" customFormat="1" ht="21" x14ac:dyDescent="0.3">
      <c r="A1" s="70" t="s">
        <v>24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4" spans="1:13" x14ac:dyDescent="0.3">
      <c r="A4" s="85" t="s">
        <v>31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</row>
    <row r="6" spans="1:13" ht="15.6" x14ac:dyDescent="0.3">
      <c r="A6" s="46" t="s">
        <v>32</v>
      </c>
      <c r="B6" s="46"/>
      <c r="C6" s="46"/>
    </row>
    <row r="7" spans="1:13" s="2" customFormat="1" ht="27.6" x14ac:dyDescent="0.3">
      <c r="A7" s="49" t="s">
        <v>33</v>
      </c>
      <c r="B7" s="86" t="s">
        <v>12</v>
      </c>
      <c r="C7" s="87"/>
      <c r="D7" s="88" t="s">
        <v>29</v>
      </c>
      <c r="E7" s="89"/>
      <c r="F7" s="89"/>
      <c r="G7" s="88" t="s">
        <v>30</v>
      </c>
      <c r="H7" s="89"/>
      <c r="I7" s="89"/>
      <c r="J7" s="89"/>
      <c r="K7" s="89"/>
      <c r="L7" s="90"/>
    </row>
    <row r="8" spans="1:13" ht="35.25" customHeight="1" x14ac:dyDescent="0.3">
      <c r="A8" s="50">
        <v>1</v>
      </c>
      <c r="B8" s="78">
        <v>45056</v>
      </c>
      <c r="C8" s="79"/>
      <c r="D8" s="91" t="s">
        <v>34</v>
      </c>
      <c r="E8" s="92"/>
      <c r="F8" s="92"/>
      <c r="G8" s="82" t="s">
        <v>35</v>
      </c>
      <c r="H8" s="83"/>
      <c r="I8" s="83"/>
      <c r="J8" s="83"/>
      <c r="K8" s="83"/>
      <c r="L8" s="84"/>
    </row>
    <row r="9" spans="1:13" x14ac:dyDescent="0.3">
      <c r="A9" s="50" t="s">
        <v>36</v>
      </c>
      <c r="B9" s="78" t="s">
        <v>37</v>
      </c>
      <c r="C9" s="79"/>
      <c r="D9" s="80" t="s">
        <v>38</v>
      </c>
      <c r="E9" s="81"/>
      <c r="F9" s="81"/>
      <c r="G9" s="82"/>
      <c r="H9" s="83"/>
      <c r="I9" s="83"/>
      <c r="J9" s="83"/>
      <c r="K9" s="83"/>
      <c r="L9" s="84"/>
    </row>
  </sheetData>
  <mergeCells count="11">
    <mergeCell ref="B9:C9"/>
    <mergeCell ref="D9:F9"/>
    <mergeCell ref="G9:L9"/>
    <mergeCell ref="A1:M1"/>
    <mergeCell ref="A4:L4"/>
    <mergeCell ref="B7:C7"/>
    <mergeCell ref="D7:F7"/>
    <mergeCell ref="G7:L7"/>
    <mergeCell ref="B8:C8"/>
    <mergeCell ref="D8:F8"/>
    <mergeCell ref="G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Test_Specification</vt:lpstr>
      <vt:lpstr>Work Product Version History</vt:lpstr>
      <vt:lpstr> Template Version History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Basavarajappa, Abhilash (A.)</dc:creator>
  <cp:lastModifiedBy>Basavarajappa, Abhilash (A.)</cp:lastModifiedBy>
  <dcterms:created xsi:type="dcterms:W3CDTF">2024-12-29T03:33:35Z</dcterms:created>
  <dcterms:modified xsi:type="dcterms:W3CDTF">2025-12-11T11:49:59Z</dcterms:modified>
</cp:coreProperties>
</file>
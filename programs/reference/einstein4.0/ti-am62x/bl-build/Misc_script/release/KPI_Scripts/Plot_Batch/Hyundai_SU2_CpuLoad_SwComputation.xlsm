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workaspace\SU2_19.3\di.build.2020.hyundai.su2.ic.osbsp\CI\Plot_Batch\"/>
    </mc:Choice>
  </mc:AlternateContent>
  <bookViews>
    <workbookView xWindow="-720" yWindow="225" windowWidth="15570" windowHeight="11265" tabRatio="936"/>
  </bookViews>
  <sheets>
    <sheet name="Results" sheetId="3" r:id="rId1"/>
    <sheet name="Parameters" sheetId="1" r:id="rId2"/>
    <sheet name="Revision history" sheetId="4" r:id="rId3"/>
  </sheets>
  <calcPr calcId="152511"/>
</workbook>
</file>

<file path=xl/calcChain.xml><?xml version="1.0" encoding="utf-8"?>
<calcChain xmlns="http://schemas.openxmlformats.org/spreadsheetml/2006/main">
  <c r="G23" i="1" l="1"/>
</calcChain>
</file>

<file path=xl/sharedStrings.xml><?xml version="1.0" encoding="utf-8"?>
<sst xmlns="http://schemas.openxmlformats.org/spreadsheetml/2006/main" count="131" uniqueCount="80">
  <si>
    <t>Handle</t>
  </si>
  <si>
    <t>Name</t>
  </si>
  <si>
    <t>Ctrl+Q to start the macro</t>
  </si>
  <si>
    <t>ABSOLUTE_COORDINATES</t>
  </si>
  <si>
    <t>ABSOLUTE_COORDINATES_COMMON</t>
  </si>
  <si>
    <t>ADD_FUNC</t>
  </si>
  <si>
    <t>ADD_FUNC_COMMON</t>
  </si>
  <si>
    <t>GRAPHIC_GET_FUNC</t>
  </si>
  <si>
    <t>GRAPHIC_GET_FUNC_COMMON</t>
  </si>
  <si>
    <t>Min time</t>
  </si>
  <si>
    <t>Avr time</t>
  </si>
  <si>
    <t>Max time</t>
  </si>
  <si>
    <t>Total time</t>
  </si>
  <si>
    <t>Occurrence Total</t>
  </si>
  <si>
    <t>Min Period</t>
  </si>
  <si>
    <t>Avr Period</t>
  </si>
  <si>
    <t>Max Period</t>
  </si>
  <si>
    <t>Occurrence</t>
  </si>
  <si>
    <t>Stack Usage</t>
  </si>
  <si>
    <t>INTERRUPTS_IRQ_ISR_401 ((ISRType)2)</t>
  </si>
  <si>
    <t>CanIsr_6 ((ISRType)1)</t>
  </si>
  <si>
    <t>AppTask_10msLP ((TaskType)0)</t>
  </si>
  <si>
    <t>IdleTask_OsCore ((TaskType)1)</t>
  </si>
  <si>
    <t>OsSafetyTask((TaskType)2)</t>
  </si>
  <si>
    <t>CanIsr_0((ISRType)0)</t>
  </si>
  <si>
    <t>The trace file contains dump of sCpuTraceData variable. ID of the tasks and interrupts are taken from Os_Types_Lcfg.h file. The handles should be consecutive starting with the tasks. Idle should be put just after the last task.
To dump the data from the Lauterbach the following command should be executed (with updated paths of course) ex:
d.save.binary "C:\Hyundai\sp2_7inch\di.build.2019.hyundai.sp2.ic.osbsp\outvar.bin" sCpuTraceData++(var.sizeof(sCpuTraceData))</t>
  </si>
  <si>
    <t>OsSafetyTask_Sig((TaskType)3)</t>
  </si>
  <si>
    <t>OsTaskRender((TaskType)4)</t>
  </si>
  <si>
    <t>OsTask_100ms((TaskType)5)</t>
  </si>
  <si>
    <t>OsTask_10msCAN ((TaskType)6)</t>
  </si>
  <si>
    <t>OsTask_10msEcuM ((TaskType)7)</t>
  </si>
  <si>
    <t>OsTask_10ms_Wdg ((TaskType)8)</t>
  </si>
  <si>
    <t>OsTask_16ms ((TaskType)9)</t>
  </si>
  <si>
    <t>OsTask_20msMP ((TaskType)10)</t>
  </si>
  <si>
    <t>OsTask_2ms ((TaskType)11)</t>
  </si>
  <si>
    <t>OsTask_32ms_TT_SND((TaskType)12)</t>
  </si>
  <si>
    <t>OsTask_32ms_WRN_HMI((TaskType)13)</t>
  </si>
  <si>
    <t>OsTask_4ms((TaskType)14)</t>
  </si>
  <si>
    <t>OsTask_50ms((TaskType)15)</t>
  </si>
  <si>
    <t>OsTask_Gdt((TaskType)16)</t>
  </si>
  <si>
    <t>OsTask_NvM_Stack((TaskType)17)</t>
  </si>
  <si>
    <t>OsTask_RteEvent((TaskType)18)</t>
  </si>
  <si>
    <t>OsTask_RtmCpuLoad((TaskType)19)</t>
  </si>
  <si>
    <t>OsTask_StackMesure((TaskType)20)</t>
  </si>
  <si>
    <t>StartupTwo ((ISRType)21)</t>
  </si>
  <si>
    <t>INTERRUPTS_IRQ_ISR_403 ((ISRType)3)</t>
  </si>
  <si>
    <t>INTERRUPTS_IRQ_ISR_404  ((ISRType)4)</t>
  </si>
  <si>
    <t>INTERRUPTS_IRQ_ISR_410 ((ISRType)6)</t>
  </si>
  <si>
    <t>INTERRUPTS_IRQ_ISR_405 ((ISRType)5)</t>
  </si>
  <si>
    <t>INTERRUPTS_IRQ_ISR_411 ((ISRType)7)</t>
  </si>
  <si>
    <t>INTERRUPTS_IRQ_ISR_418 ((ISRType)8)</t>
  </si>
  <si>
    <t>OsIsr_60MHzFRT((ISRType)9)</t>
  </si>
  <si>
    <t>OsIsr_DMA_Ch12((ISRType)10)</t>
  </si>
  <si>
    <t>OsIsr_DMA_Ch13((ISRType)11)</t>
  </si>
  <si>
    <t>OsIsr_DMA_Ch14((ISRType)12)</t>
  </si>
  <si>
    <t>OsIsr_DMA_Ch15((ISRType)13)</t>
  </si>
  <si>
    <t>OsIsr_DMA_Error((ISRType)14)</t>
  </si>
  <si>
    <t>OsIsr_ExtIntCh0((ISRType)15)</t>
  </si>
  <si>
    <t>OsIsr_ExtIntCh3((ISRType)16)</t>
  </si>
  <si>
    <t>OsIsr_I2C_MFS16_Error_Status((ISRType)17)</t>
  </si>
  <si>
    <t>OsIsr_I2C_MFS17_Tx_Rx_Error_Status((ISRType)18)</t>
  </si>
  <si>
    <t>OsIsr_PIC_Tmr((ISRType)19)</t>
  </si>
  <si>
    <t>OsIsr_PulseInputCapture((ISRType)20)</t>
  </si>
  <si>
    <t>OsIsr_RTC((ISRType)21)</t>
  </si>
  <si>
    <t>OsIsr_StpCdd((ISRType)22)</t>
  </si>
  <si>
    <t>OsIsr_SystemTimer((ISRType)23)</t>
  </si>
  <si>
    <t>OsIsr_TmExt((ISRType)24)</t>
  </si>
  <si>
    <t>OsIsr_Wdg_TO((ISRType)25)</t>
  </si>
  <si>
    <t>OsIsr_Wdg_Trg((ISRType)26)</t>
  </si>
  <si>
    <t>d.save.binary "C:\workspacess\Hyundai_SU2_SVC_NEW\di.build.2020.hyundai.su2.ic.osbsp\outvar.bin" sCpuTraceData++(var.sizeof(sCpuTraceData))</t>
  </si>
  <si>
    <t>C:\workspacess\Hyundai_SU2_SVC_NEW\di.build.2020.hyundai.su2.ic.osbsp\outvar.bin</t>
  </si>
  <si>
    <t>s.no</t>
  </si>
  <si>
    <t>baseline</t>
  </si>
  <si>
    <t>report taken on</t>
  </si>
  <si>
    <t>uploaded by</t>
  </si>
  <si>
    <t>amariam1</t>
  </si>
  <si>
    <t>ss-turing-a-hyundai-su2-svc-E20190621-02.03.01(SU2 SVC AP2 Release Drop 1)</t>
  </si>
  <si>
    <t>ss-turing-a-hyundai-su2-svc-E20190327-01.03.01(SU2 SVC Proto Release Drop 4)</t>
  </si>
  <si>
    <t>Vfile link : http://vfile.visteon.com/livelink/livelink.exe/link/31575235</t>
  </si>
  <si>
    <t>CPU load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</si>
</sst>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charset val="204"/>
      <scheme val="minor"/>
    </font>
    <font>
      <b/>
      <sz val="11"/>
      <color theme="1"/>
      <name val="Calibri"/>
      <family val="2"/>
      <charset val="204"/>
      <scheme val="minor"/>
    </font>
    <font>
      <b/>
      <sz val="11"/>
      <color theme="1"/>
      <name val="Calibri"/>
      <family val="2"/>
      <scheme val="minor"/>
    </font>
  </fonts>
  <fills count="8">
    <fill>
      <patternFill patternType="none"/>
    </fill>
    <fill>
      <patternFill patternType="gray125"/>
    </fill>
    <fill>
      <patternFill patternType="solid">
        <fgColor theme="5" tint="0.59996337778862885"/>
        <bgColor indexed="64"/>
      </patternFill>
    </fill>
    <fill>
      <patternFill patternType="solid">
        <fgColor theme="4" tint="0.79998168889431442"/>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0" tint="-0.149967955565050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xf numFmtId="0" fontId="0" fillId="4" borderId="0" xfId="0" applyFill="1" applyAlignment="1">
      <alignment horizontal="center"/>
    </xf>
    <xf numFmtId="0" fontId="0" fillId="3" borderId="0" xfId="0" applyFill="1" applyAlignment="1">
      <alignment horizontal="center"/>
    </xf>
    <xf numFmtId="0" fontId="0" fillId="5" borderId="0" xfId="0" applyFill="1" applyAlignment="1">
      <alignment horizontal="center" vertical="center"/>
    </xf>
    <xf numFmtId="0" fontId="0" fillId="6" borderId="0" xfId="0" applyFill="1"/>
    <xf numFmtId="0" fontId="1" fillId="0" borderId="0" xfId="0" applyFont="1" applyBorder="1" applyAlignment="1">
      <alignment horizontal="right"/>
    </xf>
    <xf numFmtId="49" fontId="1" fillId="0" borderId="0" xfId="0" applyNumberFormat="1" applyFont="1" applyBorder="1"/>
    <xf numFmtId="0" fontId="2" fillId="0" borderId="0" xfId="0" applyFont="1" applyAlignment="1">
      <alignment horizontal="right"/>
    </xf>
    <xf numFmtId="0" fontId="0" fillId="2" borderId="0" xfId="0" applyFill="1" applyAlignment="1">
      <alignment horizontal="left" vertical="top"/>
    </xf>
    <xf numFmtId="0" fontId="2" fillId="0" borderId="1" xfId="0" applyFont="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0" borderId="0" xfId="0" applyAlignment="1">
      <alignment horizontal="right"/>
    </xf>
    <xf numFmtId="0" fontId="0" fillId="0" borderId="1" xfId="0" applyBorder="1" applyAlignment="1">
      <alignment horizontal="center" wrapText="1"/>
    </xf>
    <xf numFmtId="0" fontId="2" fillId="0" borderId="1" xfId="0" applyFont="1" applyBorder="1" applyAlignment="1">
      <alignment horizontal="center" vertical="center"/>
    </xf>
    <xf numFmtId="0" fontId="0" fillId="0" borderId="1" xfId="0" applyBorder="1" applyAlignment="1">
      <alignment horizontal="center" vertical="center"/>
    </xf>
    <xf numFmtId="0" fontId="0" fillId="0" borderId="0" xfId="0" applyAlignment="1">
      <alignment vertical="center"/>
    </xf>
    <xf numFmtId="14" fontId="0" fillId="0" borderId="1" xfId="0" applyNumberFormat="1" applyBorder="1" applyAlignment="1">
      <alignment horizontal="center" vertical="center"/>
    </xf>
    <xf numFmtId="0" fontId="2" fillId="0" borderId="0" xfId="0" applyFont="1" applyAlignment="1">
      <alignment horizontal="right" wrapText="1"/>
    </xf>
    <xf numFmtId="0" fontId="2" fillId="0" borderId="0" xfId="0" applyFont="1"/>
    <xf numFmtId="0" fontId="0" fillId="7" borderId="0" xfId="0" applyFill="1" applyAlignment="1">
      <alignment horizontal="center" vertical="top" wrapText="1"/>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01"/>
  <sheetViews>
    <sheetView tabSelected="1" zoomScaleNormal="100" workbookViewId="0">
      <selection activeCell="N7" sqref="N7"/>
    </sheetView>
  </sheetViews>
  <sheetFormatPr defaultRowHeight="15" x14ac:dyDescent="0.25"/>
  <cols>
    <col min="1" max="1" width="47.28515625" bestFit="1" customWidth="1"/>
    <col min="2" max="2" width="8.5703125" customWidth="1"/>
    <col min="3" max="3" width="8" customWidth="1"/>
    <col min="4" max="4" width="8.85546875" customWidth="1"/>
    <col min="5" max="5" width="10" customWidth="1"/>
    <col min="6" max="6" width="15.28515625" customWidth="1"/>
    <col min="7" max="7" width="9.7109375" customWidth="1"/>
    <col min="8" max="8" width="12.28515625" customWidth="1"/>
    <col min="9" max="9" width="10.28515625" bestFit="1" customWidth="1"/>
    <col min="10" max="10" width="10.7109375" customWidth="1"/>
    <col min="11" max="11" width="11.140625" bestFit="1" customWidth="1"/>
    <col min="12" max="12" width="11" bestFit="1" customWidth="1"/>
  </cols>
  <sheetData>
    <row r="1" spans="1:12" ht="14.45" customHeight="1" x14ac:dyDescent="0.25">
      <c r="A1" s="7" t="s">
        <v>1</v>
      </c>
      <c r="B1" s="6" t="s">
        <v>9</v>
      </c>
      <c r="C1" s="6" t="s">
        <v>10</v>
      </c>
      <c r="D1" s="6" t="s">
        <v>11</v>
      </c>
      <c r="E1" s="6" t="s">
        <v>12</v>
      </c>
      <c r="F1" s="6" t="s">
        <v>13</v>
      </c>
      <c r="G1" s="6" t="s">
        <v>14</v>
      </c>
      <c r="H1" s="6" t="s">
        <v>15</v>
      </c>
      <c r="I1" s="6" t="s">
        <v>16</v>
      </c>
      <c r="J1" s="6" t="s">
        <v>17</v>
      </c>
      <c r="K1" s="6" t="s">
        <v>79</v>
      </c>
      <c r="L1" s="8" t="s">
        <v>18</v>
      </c>
    </row>
    <row r="2" spans="1:12" ht="21" customHeight="1" x14ac:dyDescent="0.25">
      <c r="A2" t="s">
        <v>21</v>
      </c>
      <c r="B2">
        <v>9</v>
      </c>
      <c r="C2">
        <v>548</v>
      </c>
      <c r="D2">
        <v>38991</v>
      </c>
      <c r="E2">
        <v>5201565</v>
      </c>
      <c r="F2">
        <v>9490</v>
      </c>
      <c r="G2">
        <v>2105</v>
      </c>
      <c r="H2">
        <v>15977</v>
      </c>
      <c r="I2">
        <v>2880336</v>
      </c>
      <c r="J2">
        <v>9488</v>
      </c>
      <c r="K2">
        <v>3.44</v>
      </c>
      <c r="L2">
        <v>1104</v>
      </c>
    </row>
    <row r="3" spans="1:12" x14ac:dyDescent="0.25">
      <c r="A3" t="s">
        <v>22</v>
      </c>
      <c r="B3">
        <v>7</v>
      </c>
      <c r="C3">
        <v>311</v>
      </c>
      <c r="D3">
        <v>38865</v>
      </c>
      <c r="E3">
        <v>27538213</v>
      </c>
      <c r="F3">
        <v>88428</v>
      </c>
      <c r="G3">
        <v>0</v>
      </c>
      <c r="H3">
        <v>0</v>
      </c>
      <c r="I3">
        <v>0</v>
      </c>
      <c r="J3">
        <v>0</v>
      </c>
      <c r="K3">
        <v>18.239999999999998</v>
      </c>
      <c r="L3">
        <v>228</v>
      </c>
    </row>
    <row r="4" spans="1:12" x14ac:dyDescent="0.25">
      <c r="A4" t="s">
        <v>23</v>
      </c>
      <c r="B4">
        <v>10</v>
      </c>
      <c r="C4">
        <v>84</v>
      </c>
      <c r="D4">
        <v>19382</v>
      </c>
      <c r="E4">
        <v>801028</v>
      </c>
      <c r="F4">
        <v>9488</v>
      </c>
      <c r="G4">
        <v>5228</v>
      </c>
      <c r="H4">
        <v>15971</v>
      </c>
      <c r="I4">
        <v>2821789</v>
      </c>
      <c r="J4">
        <v>9488</v>
      </c>
      <c r="K4">
        <v>0.53</v>
      </c>
      <c r="L4">
        <v>600</v>
      </c>
    </row>
    <row r="5" spans="1:12" ht="14.25" customHeight="1" x14ac:dyDescent="0.25">
      <c r="A5" t="s">
        <v>26</v>
      </c>
      <c r="B5">
        <v>9</v>
      </c>
      <c r="C5">
        <v>34</v>
      </c>
      <c r="D5">
        <v>19344</v>
      </c>
      <c r="E5">
        <v>101755</v>
      </c>
      <c r="F5">
        <v>2963</v>
      </c>
      <c r="G5">
        <v>23544</v>
      </c>
      <c r="H5">
        <v>51146</v>
      </c>
      <c r="I5">
        <v>2974360</v>
      </c>
      <c r="J5">
        <v>2963</v>
      </c>
      <c r="K5">
        <v>7.0000000000000007E-2</v>
      </c>
      <c r="L5">
        <v>476</v>
      </c>
    </row>
    <row r="6" spans="1:12" x14ac:dyDescent="0.25">
      <c r="A6" t="s">
        <v>27</v>
      </c>
      <c r="B6">
        <v>7</v>
      </c>
      <c r="C6">
        <v>397</v>
      </c>
      <c r="D6">
        <v>39576</v>
      </c>
      <c r="E6">
        <v>34579107</v>
      </c>
      <c r="F6">
        <v>87170</v>
      </c>
      <c r="G6">
        <v>157</v>
      </c>
      <c r="H6">
        <v>46839</v>
      </c>
      <c r="I6">
        <v>3069001</v>
      </c>
      <c r="J6">
        <v>3235</v>
      </c>
      <c r="K6">
        <v>22.9</v>
      </c>
      <c r="L6">
        <v>3252</v>
      </c>
    </row>
    <row r="7" spans="1:12" x14ac:dyDescent="0.25">
      <c r="A7" t="s">
        <v>28</v>
      </c>
      <c r="B7">
        <v>20</v>
      </c>
      <c r="C7">
        <v>895</v>
      </c>
      <c r="D7">
        <v>58505</v>
      </c>
      <c r="E7">
        <v>932985</v>
      </c>
      <c r="F7">
        <v>1042</v>
      </c>
      <c r="G7">
        <v>1924</v>
      </c>
      <c r="H7">
        <v>145472</v>
      </c>
      <c r="I7">
        <v>3185142</v>
      </c>
      <c r="J7">
        <v>1042</v>
      </c>
      <c r="K7">
        <v>0.62</v>
      </c>
      <c r="L7">
        <v>688</v>
      </c>
    </row>
    <row r="8" spans="1:12" x14ac:dyDescent="0.25">
      <c r="A8" t="s">
        <v>29</v>
      </c>
      <c r="B8">
        <v>20</v>
      </c>
      <c r="C8">
        <v>1299</v>
      </c>
      <c r="D8">
        <v>2796269</v>
      </c>
      <c r="E8">
        <v>33013529</v>
      </c>
      <c r="F8">
        <v>25406</v>
      </c>
      <c r="G8">
        <v>82</v>
      </c>
      <c r="H8">
        <v>5966</v>
      </c>
      <c r="I8">
        <v>2818754</v>
      </c>
      <c r="J8">
        <v>25406</v>
      </c>
      <c r="K8">
        <v>21.86</v>
      </c>
      <c r="L8">
        <v>712</v>
      </c>
    </row>
    <row r="9" spans="1:12" x14ac:dyDescent="0.25">
      <c r="A9" t="s">
        <v>30</v>
      </c>
      <c r="B9">
        <v>57</v>
      </c>
      <c r="C9">
        <v>350</v>
      </c>
      <c r="D9">
        <v>38768</v>
      </c>
      <c r="E9">
        <v>3318756</v>
      </c>
      <c r="F9">
        <v>9488</v>
      </c>
      <c r="G9">
        <v>4893</v>
      </c>
      <c r="H9">
        <v>15977</v>
      </c>
      <c r="I9">
        <v>2802834</v>
      </c>
      <c r="J9">
        <v>9488</v>
      </c>
      <c r="K9">
        <v>2.2000000000000002</v>
      </c>
      <c r="L9">
        <v>600</v>
      </c>
    </row>
    <row r="10" spans="1:12" x14ac:dyDescent="0.25">
      <c r="A10" t="s">
        <v>31</v>
      </c>
      <c r="B10">
        <v>35</v>
      </c>
      <c r="C10">
        <v>76</v>
      </c>
      <c r="D10">
        <v>19367</v>
      </c>
      <c r="E10">
        <v>721658</v>
      </c>
      <c r="F10">
        <v>9488</v>
      </c>
      <c r="G10">
        <v>4612</v>
      </c>
      <c r="H10">
        <v>15977</v>
      </c>
      <c r="I10">
        <v>2879193</v>
      </c>
      <c r="J10">
        <v>9488</v>
      </c>
      <c r="K10">
        <v>0.48</v>
      </c>
      <c r="L10">
        <v>548</v>
      </c>
    </row>
    <row r="11" spans="1:12" x14ac:dyDescent="0.25">
      <c r="A11" t="s">
        <v>32</v>
      </c>
      <c r="B11">
        <v>21</v>
      </c>
      <c r="C11">
        <v>1485</v>
      </c>
      <c r="D11">
        <v>77906</v>
      </c>
      <c r="E11">
        <v>8798775</v>
      </c>
      <c r="F11">
        <v>5924</v>
      </c>
      <c r="G11">
        <v>7259</v>
      </c>
      <c r="H11">
        <v>25571</v>
      </c>
      <c r="I11">
        <v>2886353</v>
      </c>
      <c r="J11">
        <v>5924</v>
      </c>
      <c r="K11">
        <v>5.83</v>
      </c>
      <c r="L11">
        <v>704</v>
      </c>
    </row>
    <row r="12" spans="1:12" x14ac:dyDescent="0.25">
      <c r="A12" t="s">
        <v>33</v>
      </c>
      <c r="B12">
        <v>13</v>
      </c>
      <c r="C12">
        <v>58</v>
      </c>
      <c r="D12">
        <v>19359</v>
      </c>
      <c r="E12">
        <v>275949</v>
      </c>
      <c r="F12">
        <v>4739</v>
      </c>
      <c r="G12">
        <v>15050</v>
      </c>
      <c r="H12">
        <v>31952</v>
      </c>
      <c r="I12">
        <v>2889018</v>
      </c>
      <c r="J12">
        <v>4739</v>
      </c>
      <c r="K12">
        <v>0.18</v>
      </c>
      <c r="L12">
        <v>640</v>
      </c>
    </row>
    <row r="13" spans="1:12" x14ac:dyDescent="0.25">
      <c r="A13" t="s">
        <v>34</v>
      </c>
      <c r="B13">
        <v>12</v>
      </c>
      <c r="C13">
        <v>42</v>
      </c>
      <c r="D13">
        <v>19420</v>
      </c>
      <c r="E13">
        <v>1969071</v>
      </c>
      <c r="F13">
        <v>46416</v>
      </c>
      <c r="G13">
        <v>79</v>
      </c>
      <c r="H13">
        <v>3272</v>
      </c>
      <c r="I13">
        <v>2798254</v>
      </c>
      <c r="J13">
        <v>46288</v>
      </c>
      <c r="K13">
        <v>1.3</v>
      </c>
      <c r="L13">
        <v>600</v>
      </c>
    </row>
    <row r="14" spans="1:12" x14ac:dyDescent="0.25">
      <c r="A14" t="s">
        <v>35</v>
      </c>
      <c r="B14">
        <v>22</v>
      </c>
      <c r="C14">
        <v>1124</v>
      </c>
      <c r="D14">
        <v>58506</v>
      </c>
      <c r="E14">
        <v>3330161</v>
      </c>
      <c r="F14">
        <v>2962</v>
      </c>
      <c r="G14">
        <v>23351</v>
      </c>
      <c r="H14">
        <v>51126</v>
      </c>
      <c r="I14">
        <v>2975481</v>
      </c>
      <c r="J14">
        <v>2962</v>
      </c>
      <c r="K14">
        <v>2.21</v>
      </c>
      <c r="L14">
        <v>720</v>
      </c>
    </row>
    <row r="15" spans="1:12" x14ac:dyDescent="0.25">
      <c r="A15" t="s">
        <v>36</v>
      </c>
      <c r="B15">
        <v>22</v>
      </c>
      <c r="C15">
        <v>724</v>
      </c>
      <c r="D15">
        <v>39015</v>
      </c>
      <c r="E15">
        <v>2145303</v>
      </c>
      <c r="F15">
        <v>2962</v>
      </c>
      <c r="G15">
        <v>24732</v>
      </c>
      <c r="H15">
        <v>51126</v>
      </c>
      <c r="I15">
        <v>2973232</v>
      </c>
      <c r="J15">
        <v>2962</v>
      </c>
      <c r="K15">
        <v>1.42</v>
      </c>
      <c r="L15">
        <v>664</v>
      </c>
    </row>
    <row r="16" spans="1:12" x14ac:dyDescent="0.25">
      <c r="A16" t="s">
        <v>37</v>
      </c>
      <c r="B16">
        <v>12</v>
      </c>
      <c r="C16">
        <v>94</v>
      </c>
      <c r="D16">
        <v>19383</v>
      </c>
      <c r="E16">
        <v>2204428</v>
      </c>
      <c r="F16">
        <v>23456</v>
      </c>
      <c r="G16">
        <v>176</v>
      </c>
      <c r="H16">
        <v>6457</v>
      </c>
      <c r="I16">
        <v>2818966</v>
      </c>
      <c r="J16">
        <v>23456</v>
      </c>
      <c r="K16">
        <v>1.46</v>
      </c>
      <c r="L16">
        <v>600</v>
      </c>
    </row>
    <row r="17" spans="1:12" x14ac:dyDescent="0.25">
      <c r="A17" t="s">
        <v>38</v>
      </c>
      <c r="B17">
        <v>15</v>
      </c>
      <c r="C17">
        <v>284</v>
      </c>
      <c r="D17">
        <v>19480</v>
      </c>
      <c r="E17">
        <v>538671</v>
      </c>
      <c r="F17">
        <v>1896</v>
      </c>
      <c r="G17">
        <v>42564</v>
      </c>
      <c r="H17">
        <v>79885</v>
      </c>
      <c r="I17">
        <v>2918565</v>
      </c>
      <c r="J17">
        <v>1896</v>
      </c>
      <c r="K17">
        <v>0.36</v>
      </c>
      <c r="L17">
        <v>680</v>
      </c>
    </row>
    <row r="18" spans="1:12" x14ac:dyDescent="0.25">
      <c r="A18" t="s">
        <v>39</v>
      </c>
      <c r="B18">
        <v>8</v>
      </c>
      <c r="C18">
        <v>298</v>
      </c>
      <c r="D18">
        <v>38945</v>
      </c>
      <c r="E18">
        <v>3570126</v>
      </c>
      <c r="F18">
        <v>11976</v>
      </c>
      <c r="G18">
        <v>98</v>
      </c>
      <c r="H18">
        <v>16814</v>
      </c>
      <c r="I18">
        <v>2799081</v>
      </c>
      <c r="J18">
        <v>9016</v>
      </c>
      <c r="K18">
        <v>2.36</v>
      </c>
      <c r="L18">
        <v>796</v>
      </c>
    </row>
    <row r="19" spans="1:12" x14ac:dyDescent="0.25">
      <c r="A19" t="s">
        <v>40</v>
      </c>
      <c r="B19">
        <v>9</v>
      </c>
      <c r="C19">
        <v>70</v>
      </c>
      <c r="D19">
        <v>19404</v>
      </c>
      <c r="E19">
        <v>512645</v>
      </c>
      <c r="F19">
        <v>7373</v>
      </c>
      <c r="G19">
        <v>234</v>
      </c>
      <c r="H19">
        <v>21559</v>
      </c>
      <c r="I19">
        <v>3069153</v>
      </c>
      <c r="J19">
        <v>7026</v>
      </c>
      <c r="K19">
        <v>0.34</v>
      </c>
      <c r="L19">
        <v>608</v>
      </c>
    </row>
    <row r="20" spans="1:12" x14ac:dyDescent="0.25">
      <c r="A20" t="s">
        <v>41</v>
      </c>
      <c r="B20">
        <v>0</v>
      </c>
      <c r="C20">
        <v>0</v>
      </c>
      <c r="D20">
        <v>0</v>
      </c>
      <c r="E20">
        <v>0</v>
      </c>
      <c r="F20">
        <v>0</v>
      </c>
      <c r="G20">
        <v>0</v>
      </c>
      <c r="H20">
        <v>0</v>
      </c>
      <c r="I20">
        <v>0</v>
      </c>
      <c r="J20">
        <v>0</v>
      </c>
      <c r="K20">
        <v>0</v>
      </c>
      <c r="L20">
        <v>600</v>
      </c>
    </row>
    <row r="21" spans="1:12" x14ac:dyDescent="0.25">
      <c r="A21" t="s">
        <v>42</v>
      </c>
      <c r="B21">
        <v>0</v>
      </c>
      <c r="C21">
        <v>0</v>
      </c>
      <c r="D21">
        <v>0</v>
      </c>
      <c r="E21">
        <v>0</v>
      </c>
      <c r="F21">
        <v>0</v>
      </c>
      <c r="G21">
        <v>0</v>
      </c>
      <c r="H21">
        <v>0</v>
      </c>
      <c r="I21">
        <v>0</v>
      </c>
      <c r="J21">
        <v>0</v>
      </c>
      <c r="K21">
        <v>0</v>
      </c>
      <c r="L21">
        <v>0</v>
      </c>
    </row>
    <row r="22" spans="1:12" x14ac:dyDescent="0.25">
      <c r="A22" t="s">
        <v>43</v>
      </c>
      <c r="B22">
        <v>9</v>
      </c>
      <c r="C22">
        <v>63</v>
      </c>
      <c r="D22">
        <v>19336</v>
      </c>
      <c r="E22">
        <v>60851</v>
      </c>
      <c r="F22">
        <v>966</v>
      </c>
      <c r="G22">
        <v>86764</v>
      </c>
      <c r="H22">
        <v>159740</v>
      </c>
      <c r="I22">
        <v>3187992</v>
      </c>
      <c r="J22">
        <v>949</v>
      </c>
      <c r="K22">
        <v>0.04</v>
      </c>
      <c r="L22">
        <v>600</v>
      </c>
    </row>
    <row r="23" spans="1:12" x14ac:dyDescent="0.25">
      <c r="A23" t="s">
        <v>44</v>
      </c>
      <c r="B23">
        <v>929</v>
      </c>
      <c r="C23">
        <v>929</v>
      </c>
      <c r="D23">
        <v>929</v>
      </c>
      <c r="E23">
        <v>929</v>
      </c>
      <c r="F23">
        <v>1</v>
      </c>
      <c r="G23">
        <v>0</v>
      </c>
      <c r="H23">
        <v>0</v>
      </c>
      <c r="I23">
        <v>0</v>
      </c>
      <c r="J23">
        <v>1</v>
      </c>
      <c r="K23">
        <v>0</v>
      </c>
      <c r="L23">
        <v>764</v>
      </c>
    </row>
    <row r="24" spans="1:12" x14ac:dyDescent="0.25">
      <c r="A24" t="s">
        <v>24</v>
      </c>
      <c r="B24">
        <v>9</v>
      </c>
      <c r="C24">
        <v>45</v>
      </c>
      <c r="D24">
        <v>19584</v>
      </c>
      <c r="E24">
        <v>10195915</v>
      </c>
      <c r="F24">
        <v>228880</v>
      </c>
      <c r="G24">
        <v>26</v>
      </c>
      <c r="H24">
        <v>661</v>
      </c>
      <c r="I24">
        <v>2794188</v>
      </c>
      <c r="J24">
        <v>228880</v>
      </c>
      <c r="K24">
        <v>6.75</v>
      </c>
      <c r="L24">
        <v>0</v>
      </c>
    </row>
    <row r="25" spans="1:12" x14ac:dyDescent="0.25">
      <c r="A25" t="s">
        <v>20</v>
      </c>
      <c r="B25">
        <v>0</v>
      </c>
      <c r="C25">
        <v>0</v>
      </c>
      <c r="D25">
        <v>0</v>
      </c>
      <c r="E25">
        <v>0</v>
      </c>
      <c r="F25">
        <v>0</v>
      </c>
      <c r="G25">
        <v>0</v>
      </c>
      <c r="H25">
        <v>0</v>
      </c>
      <c r="I25">
        <v>0</v>
      </c>
      <c r="J25">
        <v>0</v>
      </c>
      <c r="K25">
        <v>0</v>
      </c>
      <c r="L25">
        <v>0</v>
      </c>
    </row>
    <row r="26" spans="1:12" x14ac:dyDescent="0.25">
      <c r="A26" t="s">
        <v>19</v>
      </c>
      <c r="B26">
        <v>11</v>
      </c>
      <c r="C26">
        <v>13</v>
      </c>
      <c r="D26">
        <v>22</v>
      </c>
      <c r="E26">
        <v>33451</v>
      </c>
      <c r="F26">
        <v>2570</v>
      </c>
      <c r="G26">
        <v>9699</v>
      </c>
      <c r="H26">
        <v>58863</v>
      </c>
      <c r="I26">
        <v>3168839</v>
      </c>
      <c r="J26">
        <v>2570</v>
      </c>
      <c r="K26">
        <v>0.02</v>
      </c>
      <c r="L26">
        <v>0</v>
      </c>
    </row>
    <row r="27" spans="1:12" x14ac:dyDescent="0.25">
      <c r="A27" t="s">
        <v>45</v>
      </c>
      <c r="B27">
        <v>17</v>
      </c>
      <c r="C27">
        <v>18</v>
      </c>
      <c r="D27">
        <v>28</v>
      </c>
      <c r="E27">
        <v>46004</v>
      </c>
      <c r="F27">
        <v>2572</v>
      </c>
      <c r="G27">
        <v>9697</v>
      </c>
      <c r="H27">
        <v>58851</v>
      </c>
      <c r="I27">
        <v>3168780</v>
      </c>
      <c r="J27">
        <v>2572</v>
      </c>
      <c r="K27">
        <v>0.03</v>
      </c>
      <c r="L27">
        <v>0</v>
      </c>
    </row>
    <row r="28" spans="1:12" x14ac:dyDescent="0.25">
      <c r="A28" t="s">
        <v>46</v>
      </c>
      <c r="B28">
        <v>8</v>
      </c>
      <c r="C28">
        <v>11</v>
      </c>
      <c r="D28">
        <v>29</v>
      </c>
      <c r="E28">
        <v>60282</v>
      </c>
      <c r="F28">
        <v>5340</v>
      </c>
      <c r="G28">
        <v>8240</v>
      </c>
      <c r="H28">
        <v>28349</v>
      </c>
      <c r="I28">
        <v>2798701</v>
      </c>
      <c r="J28">
        <v>5340</v>
      </c>
      <c r="K28">
        <v>0.04</v>
      </c>
      <c r="L28">
        <v>0</v>
      </c>
    </row>
    <row r="29" spans="1:12" x14ac:dyDescent="0.25">
      <c r="A29" t="s">
        <v>48</v>
      </c>
      <c r="B29">
        <v>14</v>
      </c>
      <c r="C29">
        <v>36</v>
      </c>
      <c r="D29">
        <v>19310</v>
      </c>
      <c r="E29">
        <v>126858</v>
      </c>
      <c r="F29">
        <v>3537</v>
      </c>
      <c r="G29">
        <v>8236</v>
      </c>
      <c r="H29">
        <v>42794</v>
      </c>
      <c r="I29">
        <v>2891348</v>
      </c>
      <c r="J29">
        <v>3537</v>
      </c>
      <c r="K29">
        <v>0.08</v>
      </c>
      <c r="L29">
        <v>0</v>
      </c>
    </row>
    <row r="30" spans="1:12" x14ac:dyDescent="0.25">
      <c r="A30" t="s">
        <v>47</v>
      </c>
      <c r="B30">
        <v>0</v>
      </c>
      <c r="C30">
        <v>0</v>
      </c>
      <c r="D30">
        <v>0</v>
      </c>
      <c r="E30">
        <v>0</v>
      </c>
      <c r="F30">
        <v>0</v>
      </c>
      <c r="G30">
        <v>0</v>
      </c>
      <c r="H30">
        <v>0</v>
      </c>
      <c r="I30">
        <v>0</v>
      </c>
      <c r="J30">
        <v>0</v>
      </c>
      <c r="K30">
        <v>0</v>
      </c>
      <c r="L30">
        <v>0</v>
      </c>
    </row>
    <row r="31" spans="1:12" x14ac:dyDescent="0.25">
      <c r="A31" t="s">
        <v>49</v>
      </c>
      <c r="B31">
        <v>0</v>
      </c>
      <c r="C31">
        <v>0</v>
      </c>
      <c r="D31">
        <v>0</v>
      </c>
      <c r="E31">
        <v>0</v>
      </c>
      <c r="F31">
        <v>0</v>
      </c>
      <c r="G31">
        <v>0</v>
      </c>
      <c r="H31">
        <v>0</v>
      </c>
      <c r="I31">
        <v>0</v>
      </c>
      <c r="J31">
        <v>0</v>
      </c>
      <c r="K31">
        <v>0</v>
      </c>
      <c r="L31">
        <v>0</v>
      </c>
    </row>
    <row r="32" spans="1:12" x14ac:dyDescent="0.25">
      <c r="A32" t="s">
        <v>50</v>
      </c>
      <c r="B32">
        <v>0</v>
      </c>
      <c r="C32">
        <v>0</v>
      </c>
      <c r="D32">
        <v>0</v>
      </c>
      <c r="E32">
        <v>0</v>
      </c>
      <c r="F32">
        <v>0</v>
      </c>
      <c r="G32">
        <v>0</v>
      </c>
      <c r="H32">
        <v>0</v>
      </c>
      <c r="I32">
        <v>0</v>
      </c>
      <c r="J32">
        <v>0</v>
      </c>
      <c r="K32">
        <v>0</v>
      </c>
      <c r="L32">
        <v>0</v>
      </c>
    </row>
    <row r="33" spans="1:12" x14ac:dyDescent="0.25">
      <c r="A33" t="s">
        <v>51</v>
      </c>
      <c r="B33">
        <v>13</v>
      </c>
      <c r="C33">
        <v>13</v>
      </c>
      <c r="D33">
        <v>13</v>
      </c>
      <c r="E33">
        <v>26</v>
      </c>
      <c r="F33">
        <v>2</v>
      </c>
      <c r="G33">
        <v>1</v>
      </c>
      <c r="H33">
        <v>1</v>
      </c>
      <c r="I33">
        <v>1</v>
      </c>
      <c r="J33">
        <v>2</v>
      </c>
      <c r="K33">
        <v>0</v>
      </c>
      <c r="L33">
        <v>0</v>
      </c>
    </row>
    <row r="34" spans="1:12" x14ac:dyDescent="0.25">
      <c r="A34" t="s">
        <v>52</v>
      </c>
      <c r="B34">
        <v>13</v>
      </c>
      <c r="C34">
        <v>19</v>
      </c>
      <c r="D34">
        <v>20</v>
      </c>
      <c r="E34">
        <v>5360</v>
      </c>
      <c r="F34">
        <v>283</v>
      </c>
      <c r="G34">
        <v>382829</v>
      </c>
      <c r="H34">
        <v>534724</v>
      </c>
      <c r="I34">
        <v>2932027</v>
      </c>
      <c r="J34">
        <v>283</v>
      </c>
      <c r="K34">
        <v>0</v>
      </c>
      <c r="L34">
        <v>0</v>
      </c>
    </row>
    <row r="35" spans="1:12" x14ac:dyDescent="0.25">
      <c r="A35" t="s">
        <v>53</v>
      </c>
      <c r="B35">
        <v>12</v>
      </c>
      <c r="C35">
        <v>17</v>
      </c>
      <c r="D35">
        <v>19</v>
      </c>
      <c r="E35">
        <v>2919</v>
      </c>
      <c r="F35">
        <v>167</v>
      </c>
      <c r="G35">
        <v>390896</v>
      </c>
      <c r="H35">
        <v>904568</v>
      </c>
      <c r="I35">
        <v>3849319</v>
      </c>
      <c r="J35">
        <v>167</v>
      </c>
      <c r="K35">
        <v>0</v>
      </c>
      <c r="L35">
        <v>0</v>
      </c>
    </row>
    <row r="36" spans="1:12" x14ac:dyDescent="0.25">
      <c r="A36" t="s">
        <v>54</v>
      </c>
      <c r="B36">
        <v>13</v>
      </c>
      <c r="C36">
        <v>14</v>
      </c>
      <c r="D36">
        <v>19</v>
      </c>
      <c r="E36">
        <v>71</v>
      </c>
      <c r="F36">
        <v>5</v>
      </c>
      <c r="G36">
        <v>970933</v>
      </c>
      <c r="H36">
        <v>980264</v>
      </c>
      <c r="I36">
        <v>987805</v>
      </c>
      <c r="J36">
        <v>5</v>
      </c>
      <c r="K36">
        <v>0</v>
      </c>
      <c r="L36">
        <v>0</v>
      </c>
    </row>
    <row r="37" spans="1:12" x14ac:dyDescent="0.25">
      <c r="A37" t="s">
        <v>55</v>
      </c>
      <c r="B37">
        <v>0</v>
      </c>
      <c r="C37">
        <v>0</v>
      </c>
      <c r="D37">
        <v>0</v>
      </c>
      <c r="E37">
        <v>0</v>
      </c>
      <c r="F37">
        <v>0</v>
      </c>
      <c r="G37">
        <v>0</v>
      </c>
      <c r="H37">
        <v>0</v>
      </c>
      <c r="I37">
        <v>0</v>
      </c>
      <c r="J37">
        <v>0</v>
      </c>
      <c r="K37">
        <v>0</v>
      </c>
      <c r="L37">
        <v>0</v>
      </c>
    </row>
    <row r="38" spans="1:12" x14ac:dyDescent="0.25">
      <c r="A38" t="s">
        <v>56</v>
      </c>
      <c r="B38">
        <v>9</v>
      </c>
      <c r="C38">
        <v>9</v>
      </c>
      <c r="D38">
        <v>10</v>
      </c>
      <c r="E38">
        <v>895</v>
      </c>
      <c r="F38">
        <v>99</v>
      </c>
      <c r="G38">
        <v>19959</v>
      </c>
      <c r="H38">
        <v>1396811</v>
      </c>
      <c r="I38">
        <v>6003640</v>
      </c>
      <c r="J38">
        <v>99</v>
      </c>
      <c r="K38">
        <v>0</v>
      </c>
      <c r="L38">
        <v>0</v>
      </c>
    </row>
    <row r="39" spans="1:12" x14ac:dyDescent="0.25">
      <c r="A39" t="s">
        <v>57</v>
      </c>
      <c r="B39">
        <v>0</v>
      </c>
      <c r="C39">
        <v>0</v>
      </c>
      <c r="D39">
        <v>0</v>
      </c>
      <c r="E39">
        <v>0</v>
      </c>
      <c r="F39">
        <v>0</v>
      </c>
      <c r="G39">
        <v>0</v>
      </c>
      <c r="H39">
        <v>0</v>
      </c>
      <c r="I39">
        <v>0</v>
      </c>
      <c r="J39">
        <v>0</v>
      </c>
      <c r="K39">
        <v>0</v>
      </c>
      <c r="L39">
        <v>0</v>
      </c>
    </row>
    <row r="40" spans="1:12" x14ac:dyDescent="0.25">
      <c r="A40" t="s">
        <v>58</v>
      </c>
      <c r="B40">
        <v>0</v>
      </c>
      <c r="C40">
        <v>0</v>
      </c>
      <c r="D40">
        <v>0</v>
      </c>
      <c r="E40">
        <v>0</v>
      </c>
      <c r="F40">
        <v>0</v>
      </c>
      <c r="G40">
        <v>0</v>
      </c>
      <c r="H40">
        <v>0</v>
      </c>
      <c r="I40">
        <v>0</v>
      </c>
      <c r="J40">
        <v>0</v>
      </c>
      <c r="K40">
        <v>0</v>
      </c>
      <c r="L40">
        <v>0</v>
      </c>
    </row>
    <row r="41" spans="1:12" x14ac:dyDescent="0.25">
      <c r="A41" t="s">
        <v>59</v>
      </c>
      <c r="B41">
        <v>9</v>
      </c>
      <c r="C41">
        <v>10</v>
      </c>
      <c r="D41">
        <v>15</v>
      </c>
      <c r="E41">
        <v>5987</v>
      </c>
      <c r="F41">
        <v>586</v>
      </c>
      <c r="G41">
        <v>15</v>
      </c>
      <c r="H41">
        <v>78478</v>
      </c>
      <c r="I41">
        <v>45647383</v>
      </c>
      <c r="J41">
        <v>586</v>
      </c>
      <c r="K41">
        <v>0</v>
      </c>
      <c r="L41">
        <v>0</v>
      </c>
    </row>
    <row r="42" spans="1:12" x14ac:dyDescent="0.25">
      <c r="A42" t="s">
        <v>60</v>
      </c>
      <c r="B42">
        <v>0</v>
      </c>
      <c r="C42">
        <v>0</v>
      </c>
      <c r="D42">
        <v>0</v>
      </c>
      <c r="E42">
        <v>0</v>
      </c>
      <c r="F42">
        <v>0</v>
      </c>
      <c r="G42">
        <v>0</v>
      </c>
      <c r="H42">
        <v>0</v>
      </c>
      <c r="I42">
        <v>0</v>
      </c>
      <c r="J42">
        <v>0</v>
      </c>
      <c r="K42">
        <v>0</v>
      </c>
      <c r="L42">
        <v>0</v>
      </c>
    </row>
    <row r="43" spans="1:12" x14ac:dyDescent="0.25">
      <c r="A43" t="s">
        <v>61</v>
      </c>
      <c r="B43">
        <v>11</v>
      </c>
      <c r="C43">
        <v>11</v>
      </c>
      <c r="D43">
        <v>11</v>
      </c>
      <c r="E43">
        <v>22</v>
      </c>
      <c r="F43">
        <v>2</v>
      </c>
      <c r="G43">
        <v>71581032</v>
      </c>
      <c r="H43">
        <v>71581032</v>
      </c>
      <c r="I43">
        <v>71581032</v>
      </c>
      <c r="J43">
        <v>2</v>
      </c>
      <c r="K43">
        <v>0</v>
      </c>
      <c r="L43">
        <v>0</v>
      </c>
    </row>
    <row r="44" spans="1:12" x14ac:dyDescent="0.25">
      <c r="A44" t="s">
        <v>62</v>
      </c>
      <c r="B44">
        <v>0</v>
      </c>
      <c r="C44">
        <v>0</v>
      </c>
      <c r="D44">
        <v>0</v>
      </c>
      <c r="E44">
        <v>0</v>
      </c>
      <c r="F44">
        <v>0</v>
      </c>
      <c r="G44">
        <v>0</v>
      </c>
      <c r="H44">
        <v>0</v>
      </c>
      <c r="I44">
        <v>0</v>
      </c>
      <c r="J44">
        <v>0</v>
      </c>
      <c r="K44">
        <v>0</v>
      </c>
      <c r="L44">
        <v>0</v>
      </c>
    </row>
    <row r="45" spans="1:12" x14ac:dyDescent="0.25">
      <c r="A45" t="s">
        <v>63</v>
      </c>
      <c r="B45">
        <v>0</v>
      </c>
      <c r="C45">
        <v>0</v>
      </c>
      <c r="D45">
        <v>0</v>
      </c>
      <c r="E45">
        <v>0</v>
      </c>
      <c r="F45">
        <v>0</v>
      </c>
      <c r="G45">
        <v>0</v>
      </c>
      <c r="H45">
        <v>0</v>
      </c>
      <c r="I45">
        <v>0</v>
      </c>
      <c r="J45">
        <v>0</v>
      </c>
      <c r="K45">
        <v>0</v>
      </c>
      <c r="L45">
        <v>0</v>
      </c>
    </row>
    <row r="46" spans="1:12" x14ac:dyDescent="0.25">
      <c r="A46" t="s">
        <v>64</v>
      </c>
      <c r="B46">
        <v>21</v>
      </c>
      <c r="C46">
        <v>72</v>
      </c>
      <c r="D46">
        <v>19362</v>
      </c>
      <c r="E46">
        <v>6782674</v>
      </c>
      <c r="F46">
        <v>94387</v>
      </c>
      <c r="G46">
        <v>49</v>
      </c>
      <c r="H46">
        <v>1603</v>
      </c>
      <c r="I46">
        <v>2794299</v>
      </c>
      <c r="J46">
        <v>94387</v>
      </c>
      <c r="K46">
        <v>4.49</v>
      </c>
      <c r="L46">
        <v>0</v>
      </c>
    </row>
    <row r="47" spans="1:12" x14ac:dyDescent="0.25">
      <c r="A47" t="s">
        <v>65</v>
      </c>
      <c r="B47">
        <v>7</v>
      </c>
      <c r="C47">
        <v>43</v>
      </c>
      <c r="D47">
        <v>19351</v>
      </c>
      <c r="E47">
        <v>4072062</v>
      </c>
      <c r="F47">
        <v>94881</v>
      </c>
      <c r="G47">
        <v>16</v>
      </c>
      <c r="H47">
        <v>1597</v>
      </c>
      <c r="I47">
        <v>2794396</v>
      </c>
      <c r="J47">
        <v>94881</v>
      </c>
      <c r="K47">
        <v>2.7</v>
      </c>
      <c r="L47">
        <v>0</v>
      </c>
    </row>
    <row r="48" spans="1:12" x14ac:dyDescent="0.25">
      <c r="A48" t="s">
        <v>66</v>
      </c>
      <c r="B48">
        <v>0</v>
      </c>
      <c r="C48">
        <v>0</v>
      </c>
      <c r="D48">
        <v>0</v>
      </c>
      <c r="E48">
        <v>0</v>
      </c>
      <c r="F48">
        <v>0</v>
      </c>
      <c r="G48">
        <v>0</v>
      </c>
      <c r="H48">
        <v>0</v>
      </c>
      <c r="I48">
        <v>0</v>
      </c>
      <c r="J48">
        <v>0</v>
      </c>
      <c r="K48">
        <v>0</v>
      </c>
      <c r="L48">
        <v>0</v>
      </c>
    </row>
    <row r="49" spans="1:12" x14ac:dyDescent="0.25">
      <c r="A49" t="s">
        <v>67</v>
      </c>
      <c r="B49">
        <v>0</v>
      </c>
      <c r="C49">
        <v>0</v>
      </c>
      <c r="D49">
        <v>0</v>
      </c>
      <c r="E49">
        <v>0</v>
      </c>
      <c r="F49">
        <v>0</v>
      </c>
      <c r="G49">
        <v>0</v>
      </c>
      <c r="H49">
        <v>0</v>
      </c>
      <c r="I49">
        <v>0</v>
      </c>
      <c r="J49">
        <v>0</v>
      </c>
      <c r="K49">
        <v>0</v>
      </c>
      <c r="L49">
        <v>0</v>
      </c>
    </row>
    <row r="50" spans="1:12" x14ac:dyDescent="0.25">
      <c r="A50" t="s">
        <v>68</v>
      </c>
      <c r="B50">
        <v>25</v>
      </c>
      <c r="C50">
        <v>47</v>
      </c>
      <c r="D50">
        <v>19331</v>
      </c>
      <c r="E50">
        <v>43118</v>
      </c>
      <c r="F50">
        <v>923</v>
      </c>
      <c r="G50">
        <v>100022</v>
      </c>
      <c r="H50">
        <v>164170</v>
      </c>
      <c r="I50">
        <v>3202178</v>
      </c>
      <c r="J50">
        <v>923</v>
      </c>
      <c r="K50">
        <v>0.03</v>
      </c>
      <c r="L50">
        <v>0</v>
      </c>
    </row>
    <row r="51" spans="1:12" x14ac:dyDescent="0.25">
      <c r="K51" s="19"/>
      <c r="L51" s="20"/>
    </row>
    <row r="55" spans="1:12" x14ac:dyDescent="0.25">
      <c r="J55" s="13"/>
    </row>
    <row r="96" spans="1:1" x14ac:dyDescent="0.25">
      <c r="A96" t="s">
        <v>3</v>
      </c>
    </row>
    <row r="97" spans="1:1" x14ac:dyDescent="0.25">
      <c r="A97" t="s">
        <v>4</v>
      </c>
    </row>
    <row r="98" spans="1:1" x14ac:dyDescent="0.25">
      <c r="A98" t="s">
        <v>5</v>
      </c>
    </row>
    <row r="99" spans="1:1" x14ac:dyDescent="0.25">
      <c r="A99" t="s">
        <v>6</v>
      </c>
    </row>
    <row r="100" spans="1:1" x14ac:dyDescent="0.25">
      <c r="A100" t="s">
        <v>7</v>
      </c>
    </row>
    <row r="101" spans="1:1" x14ac:dyDescent="0.25">
      <c r="A101" t="s">
        <v>8</v>
      </c>
    </row>
  </sheetData>
  <conditionalFormatting sqref="K76:K1048576">
    <cfRule type="cellIs" dxfId="1" priority="2" operator="greaterThan">
      <formula>20</formula>
    </cfRule>
  </conditionalFormatting>
  <conditionalFormatting sqref="K1">
    <cfRule type="cellIs" dxfId="0" priority="1" operator="greaterThan">
      <formula>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52"/>
  <sheetViews>
    <sheetView topLeftCell="A22" workbookViewId="0">
      <selection activeCell="G24" sqref="G24"/>
    </sheetView>
  </sheetViews>
  <sheetFormatPr defaultRowHeight="15" x14ac:dyDescent="0.25"/>
  <cols>
    <col min="1" max="1" width="17.5703125" customWidth="1"/>
    <col min="2" max="2" width="49.5703125" customWidth="1"/>
    <col min="3" max="3" width="47.7109375" bestFit="1" customWidth="1"/>
    <col min="7" max="7" width="80.42578125" bestFit="1" customWidth="1"/>
    <col min="10" max="10" width="10" bestFit="1" customWidth="1"/>
    <col min="13" max="13" width="35" bestFit="1" customWidth="1"/>
  </cols>
  <sheetData>
    <row r="1" spans="1:7" x14ac:dyDescent="0.25">
      <c r="A1" t="s">
        <v>70</v>
      </c>
    </row>
    <row r="3" spans="1:7" x14ac:dyDescent="0.25">
      <c r="A3" s="2" t="s">
        <v>0</v>
      </c>
      <c r="B3" s="4" t="s">
        <v>1</v>
      </c>
      <c r="D3" s="5" t="s">
        <v>2</v>
      </c>
      <c r="E3" s="5"/>
      <c r="F3" s="5"/>
    </row>
    <row r="4" spans="1:7" x14ac:dyDescent="0.25">
      <c r="A4" s="3">
        <v>0</v>
      </c>
      <c r="B4" s="1" t="s">
        <v>21</v>
      </c>
    </row>
    <row r="5" spans="1:7" x14ac:dyDescent="0.25">
      <c r="A5" s="3">
        <v>1</v>
      </c>
      <c r="B5" s="1" t="s">
        <v>22</v>
      </c>
    </row>
    <row r="6" spans="1:7" x14ac:dyDescent="0.25">
      <c r="A6" s="3">
        <v>2</v>
      </c>
      <c r="B6" s="1" t="s">
        <v>23</v>
      </c>
    </row>
    <row r="7" spans="1:7" x14ac:dyDescent="0.25">
      <c r="A7" s="3">
        <v>3</v>
      </c>
      <c r="B7" s="1" t="s">
        <v>26</v>
      </c>
    </row>
    <row r="8" spans="1:7" x14ac:dyDescent="0.25">
      <c r="A8" s="3">
        <v>4</v>
      </c>
      <c r="B8" s="1" t="s">
        <v>27</v>
      </c>
    </row>
    <row r="9" spans="1:7" ht="15" customHeight="1" x14ac:dyDescent="0.25">
      <c r="A9" s="3">
        <v>5</v>
      </c>
      <c r="B9" s="1" t="s">
        <v>28</v>
      </c>
      <c r="G9" s="21" t="s">
        <v>25</v>
      </c>
    </row>
    <row r="10" spans="1:7" x14ac:dyDescent="0.25">
      <c r="A10" s="3">
        <v>6</v>
      </c>
      <c r="B10" s="1" t="s">
        <v>29</v>
      </c>
      <c r="G10" s="21"/>
    </row>
    <row r="11" spans="1:7" x14ac:dyDescent="0.25">
      <c r="A11" s="3">
        <v>7</v>
      </c>
      <c r="B11" s="1" t="s">
        <v>30</v>
      </c>
      <c r="G11" s="21"/>
    </row>
    <row r="12" spans="1:7" x14ac:dyDescent="0.25">
      <c r="A12" s="3">
        <v>8</v>
      </c>
      <c r="B12" s="1" t="s">
        <v>31</v>
      </c>
      <c r="G12" s="21"/>
    </row>
    <row r="13" spans="1:7" x14ac:dyDescent="0.25">
      <c r="A13" s="3">
        <v>9</v>
      </c>
      <c r="B13" s="1" t="s">
        <v>32</v>
      </c>
      <c r="G13" s="21"/>
    </row>
    <row r="14" spans="1:7" x14ac:dyDescent="0.25">
      <c r="A14" s="3">
        <v>10</v>
      </c>
      <c r="B14" s="1" t="s">
        <v>33</v>
      </c>
      <c r="G14" s="21"/>
    </row>
    <row r="15" spans="1:7" x14ac:dyDescent="0.25">
      <c r="A15" s="3">
        <v>11</v>
      </c>
      <c r="B15" s="1" t="s">
        <v>34</v>
      </c>
      <c r="G15" s="21"/>
    </row>
    <row r="16" spans="1:7" ht="15" customHeight="1" x14ac:dyDescent="0.25">
      <c r="A16" s="3">
        <v>12</v>
      </c>
      <c r="B16" s="1" t="s">
        <v>35</v>
      </c>
      <c r="G16" s="21"/>
    </row>
    <row r="17" spans="1:7" x14ac:dyDescent="0.25">
      <c r="A17" s="3">
        <v>13</v>
      </c>
      <c r="B17" s="1" t="s">
        <v>36</v>
      </c>
      <c r="G17" s="21"/>
    </row>
    <row r="18" spans="1:7" x14ac:dyDescent="0.25">
      <c r="A18" s="3">
        <v>14</v>
      </c>
      <c r="B18" s="1" t="s">
        <v>37</v>
      </c>
      <c r="G18" s="21"/>
    </row>
    <row r="19" spans="1:7" x14ac:dyDescent="0.25">
      <c r="A19" s="3">
        <v>15</v>
      </c>
      <c r="B19" s="1" t="s">
        <v>38</v>
      </c>
      <c r="G19" s="21"/>
    </row>
    <row r="20" spans="1:7" x14ac:dyDescent="0.25">
      <c r="A20" s="3">
        <v>16</v>
      </c>
      <c r="B20" s="1" t="s">
        <v>39</v>
      </c>
      <c r="G20" s="21"/>
    </row>
    <row r="21" spans="1:7" x14ac:dyDescent="0.25">
      <c r="A21" s="3">
        <v>17</v>
      </c>
      <c r="B21" s="1" t="s">
        <v>40</v>
      </c>
      <c r="G21" s="21"/>
    </row>
    <row r="22" spans="1:7" x14ac:dyDescent="0.25">
      <c r="A22" s="3">
        <v>18</v>
      </c>
      <c r="B22" s="1" t="s">
        <v>41</v>
      </c>
      <c r="G22" s="21"/>
    </row>
    <row r="23" spans="1:7" x14ac:dyDescent="0.25">
      <c r="A23" s="3">
        <v>19</v>
      </c>
      <c r="B23" s="1" t="s">
        <v>42</v>
      </c>
      <c r="G23" t="str">
        <f>TEXT(A1,"")</f>
        <v>C:\workspacess\Hyundai_SU2_SVC_NEW\di.build.2020.hyundai.su2.ic.osbsp\outvar.bin</v>
      </c>
    </row>
    <row r="24" spans="1:7" ht="15.75" customHeight="1" x14ac:dyDescent="0.25">
      <c r="A24" s="3">
        <v>20</v>
      </c>
      <c r="B24" s="1" t="s">
        <v>43</v>
      </c>
      <c r="G24" t="s">
        <v>69</v>
      </c>
    </row>
    <row r="25" spans="1:7" x14ac:dyDescent="0.25">
      <c r="A25" s="3">
        <v>21</v>
      </c>
      <c r="B25" s="1" t="s">
        <v>44</v>
      </c>
    </row>
    <row r="26" spans="1:7" x14ac:dyDescent="0.25">
      <c r="A26" s="3">
        <v>22</v>
      </c>
      <c r="B26" s="1" t="s">
        <v>24</v>
      </c>
    </row>
    <row r="27" spans="1:7" x14ac:dyDescent="0.25">
      <c r="A27" s="3">
        <v>23</v>
      </c>
      <c r="B27" s="9" t="s">
        <v>20</v>
      </c>
    </row>
    <row r="28" spans="1:7" x14ac:dyDescent="0.25">
      <c r="A28" s="3">
        <v>24</v>
      </c>
      <c r="B28" s="9" t="s">
        <v>19</v>
      </c>
    </row>
    <row r="29" spans="1:7" x14ac:dyDescent="0.25">
      <c r="A29" s="3">
        <v>25</v>
      </c>
      <c r="B29" s="9" t="s">
        <v>45</v>
      </c>
    </row>
    <row r="30" spans="1:7" x14ac:dyDescent="0.25">
      <c r="A30" s="3">
        <v>26</v>
      </c>
      <c r="B30" s="9" t="s">
        <v>46</v>
      </c>
    </row>
    <row r="31" spans="1:7" x14ac:dyDescent="0.25">
      <c r="A31" s="3">
        <v>27</v>
      </c>
      <c r="B31" s="9" t="s">
        <v>48</v>
      </c>
    </row>
    <row r="32" spans="1:7" x14ac:dyDescent="0.25">
      <c r="A32" s="3">
        <v>28</v>
      </c>
      <c r="B32" s="9" t="s">
        <v>47</v>
      </c>
    </row>
    <row r="33" spans="1:2" x14ac:dyDescent="0.25">
      <c r="A33" s="3">
        <v>29</v>
      </c>
      <c r="B33" s="9" t="s">
        <v>49</v>
      </c>
    </row>
    <row r="34" spans="1:2" x14ac:dyDescent="0.25">
      <c r="A34" s="3">
        <v>30</v>
      </c>
      <c r="B34" s="9" t="s">
        <v>50</v>
      </c>
    </row>
    <row r="35" spans="1:2" x14ac:dyDescent="0.25">
      <c r="A35" s="3">
        <v>31</v>
      </c>
      <c r="B35" s="9" t="s">
        <v>51</v>
      </c>
    </row>
    <row r="36" spans="1:2" x14ac:dyDescent="0.25">
      <c r="A36" s="3">
        <v>32</v>
      </c>
      <c r="B36" s="9" t="s">
        <v>52</v>
      </c>
    </row>
    <row r="37" spans="1:2" x14ac:dyDescent="0.25">
      <c r="A37" s="3">
        <v>33</v>
      </c>
      <c r="B37" s="9" t="s">
        <v>53</v>
      </c>
    </row>
    <row r="38" spans="1:2" x14ac:dyDescent="0.25">
      <c r="A38" s="3">
        <v>34</v>
      </c>
      <c r="B38" s="9" t="s">
        <v>54</v>
      </c>
    </row>
    <row r="39" spans="1:2" x14ac:dyDescent="0.25">
      <c r="A39" s="3">
        <v>35</v>
      </c>
      <c r="B39" s="9" t="s">
        <v>55</v>
      </c>
    </row>
    <row r="40" spans="1:2" x14ac:dyDescent="0.25">
      <c r="A40" s="3">
        <v>36</v>
      </c>
      <c r="B40" s="9" t="s">
        <v>56</v>
      </c>
    </row>
    <row r="41" spans="1:2" x14ac:dyDescent="0.25">
      <c r="A41" s="3">
        <v>37</v>
      </c>
      <c r="B41" s="9" t="s">
        <v>57</v>
      </c>
    </row>
    <row r="42" spans="1:2" x14ac:dyDescent="0.25">
      <c r="A42" s="3">
        <v>38</v>
      </c>
      <c r="B42" s="9" t="s">
        <v>58</v>
      </c>
    </row>
    <row r="43" spans="1:2" x14ac:dyDescent="0.25">
      <c r="A43" s="3">
        <v>39</v>
      </c>
      <c r="B43" s="9" t="s">
        <v>59</v>
      </c>
    </row>
    <row r="44" spans="1:2" x14ac:dyDescent="0.25">
      <c r="A44" s="3">
        <v>40</v>
      </c>
      <c r="B44" s="9" t="s">
        <v>60</v>
      </c>
    </row>
    <row r="45" spans="1:2" x14ac:dyDescent="0.25">
      <c r="A45" s="3">
        <v>41</v>
      </c>
      <c r="B45" s="9" t="s">
        <v>61</v>
      </c>
    </row>
    <row r="46" spans="1:2" x14ac:dyDescent="0.25">
      <c r="A46" s="3">
        <v>42</v>
      </c>
      <c r="B46" s="9" t="s">
        <v>62</v>
      </c>
    </row>
    <row r="47" spans="1:2" x14ac:dyDescent="0.25">
      <c r="A47" s="3">
        <v>43</v>
      </c>
      <c r="B47" s="9" t="s">
        <v>63</v>
      </c>
    </row>
    <row r="48" spans="1:2" x14ac:dyDescent="0.25">
      <c r="A48" s="3">
        <v>44</v>
      </c>
      <c r="B48" s="9" t="s">
        <v>64</v>
      </c>
    </row>
    <row r="49" spans="1:2" x14ac:dyDescent="0.25">
      <c r="A49" s="3">
        <v>45</v>
      </c>
      <c r="B49" s="9" t="s">
        <v>65</v>
      </c>
    </row>
    <row r="50" spans="1:2" x14ac:dyDescent="0.25">
      <c r="A50" s="3">
        <v>46</v>
      </c>
      <c r="B50" s="9" t="s">
        <v>66</v>
      </c>
    </row>
    <row r="51" spans="1:2" x14ac:dyDescent="0.25">
      <c r="A51" s="3">
        <v>47</v>
      </c>
      <c r="B51" s="9" t="s">
        <v>67</v>
      </c>
    </row>
    <row r="52" spans="1:2" x14ac:dyDescent="0.25">
      <c r="A52" s="3">
        <v>48</v>
      </c>
      <c r="B52" s="9" t="s">
        <v>68</v>
      </c>
    </row>
  </sheetData>
  <mergeCells count="1">
    <mergeCell ref="G9:G2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workbookViewId="0">
      <selection activeCell="G13" sqref="G13"/>
    </sheetView>
  </sheetViews>
  <sheetFormatPr defaultRowHeight="15" x14ac:dyDescent="0.25"/>
  <cols>
    <col min="1" max="1" width="10.85546875" style="17" customWidth="1"/>
    <col min="2" max="2" width="59.5703125" customWidth="1"/>
    <col min="3" max="4" width="19.140625" customWidth="1"/>
  </cols>
  <sheetData>
    <row r="1" spans="1:6" x14ac:dyDescent="0.25">
      <c r="A1" s="15" t="s">
        <v>71</v>
      </c>
      <c r="B1" s="10" t="s">
        <v>72</v>
      </c>
      <c r="C1" s="10" t="s">
        <v>73</v>
      </c>
      <c r="D1" s="10" t="s">
        <v>74</v>
      </c>
    </row>
    <row r="2" spans="1:6" x14ac:dyDescent="0.25">
      <c r="A2" s="16"/>
      <c r="B2" s="11"/>
      <c r="C2" s="11"/>
      <c r="D2" s="11"/>
    </row>
    <row r="3" spans="1:6" ht="30" x14ac:dyDescent="0.25">
      <c r="A3" s="16">
        <v>1</v>
      </c>
      <c r="B3" s="14" t="s">
        <v>77</v>
      </c>
      <c r="C3" s="18">
        <v>43551</v>
      </c>
      <c r="D3" s="12" t="s">
        <v>75</v>
      </c>
      <c r="F3" t="s">
        <v>78</v>
      </c>
    </row>
    <row r="4" spans="1:6" ht="30" x14ac:dyDescent="0.25">
      <c r="A4" s="16">
        <v>2</v>
      </c>
      <c r="B4" s="14" t="s">
        <v>76</v>
      </c>
      <c r="C4" s="18">
        <v>43642</v>
      </c>
      <c r="D4" s="11" t="s">
        <v>75</v>
      </c>
    </row>
    <row r="5" spans="1:6" x14ac:dyDescent="0.25">
      <c r="A5" s="16"/>
      <c r="B5" s="11"/>
      <c r="C5" s="11"/>
      <c r="D5" s="11"/>
    </row>
    <row r="6" spans="1:6" x14ac:dyDescent="0.25">
      <c r="A6" s="16"/>
      <c r="B6" s="11"/>
      <c r="C6" s="11"/>
      <c r="D6" s="11"/>
    </row>
    <row r="7" spans="1:6" x14ac:dyDescent="0.25">
      <c r="A7" s="16"/>
      <c r="B7" s="11"/>
      <c r="C7" s="11"/>
      <c r="D7" s="11"/>
    </row>
    <row r="8" spans="1:6" x14ac:dyDescent="0.25">
      <c r="A8" s="16"/>
      <c r="B8" s="11"/>
      <c r="C8" s="11"/>
      <c r="D8" s="11"/>
    </row>
    <row r="9" spans="1:6" x14ac:dyDescent="0.25">
      <c r="A9" s="16"/>
      <c r="B9" s="11"/>
      <c r="C9" s="11"/>
      <c r="D9" s="11"/>
    </row>
    <row r="10" spans="1:6" x14ac:dyDescent="0.25">
      <c r="A10" s="16"/>
      <c r="B10" s="11"/>
      <c r="C10" s="11"/>
      <c r="D10" s="11"/>
    </row>
    <row r="11" spans="1:6" x14ac:dyDescent="0.25">
      <c r="A11" s="16"/>
      <c r="B11" s="11"/>
      <c r="C11" s="11"/>
      <c r="D11" s="11"/>
    </row>
    <row r="12" spans="1:6" x14ac:dyDescent="0.25">
      <c r="A12" s="16"/>
      <c r="B12" s="11"/>
      <c r="C12" s="11"/>
      <c r="D12" s="11"/>
    </row>
    <row r="13" spans="1:6" x14ac:dyDescent="0.25">
      <c r="A13" s="16"/>
      <c r="B13" s="11"/>
      <c r="C13" s="11"/>
      <c r="D13" s="11"/>
    </row>
    <row r="14" spans="1:6" x14ac:dyDescent="0.25">
      <c r="A14" s="16"/>
      <c r="B14" s="11"/>
      <c r="C14" s="11"/>
      <c r="D14"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Results</vt:lpstr>
      <vt:lpstr>Parameters</vt:lpstr>
      <vt:lpstr>Revision history</vt:lpstr>
    </vt:vector>
  </TitlesOfParts>
  <Company>Johnson Controls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anedevd</dc:creator>
  <cp:lastModifiedBy>Vishwasrao, Prachi (P.)</cp:lastModifiedBy>
  <dcterms:created xsi:type="dcterms:W3CDTF">2008-12-10T13:11:57Z</dcterms:created>
  <dcterms:modified xsi:type="dcterms:W3CDTF">2019-07-02T14:47:27Z</dcterms:modified>
</cp:coreProperties>
</file>
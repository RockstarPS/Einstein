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ahorri\Desktop\SM2\"/>
    </mc:Choice>
  </mc:AlternateContent>
  <xr:revisionPtr revIDLastSave="0" documentId="13_ncr:1_{EDB77684-E5EA-4901-BD3A-E0E77ECD96E0}" xr6:coauthVersionLast="47" xr6:coauthVersionMax="47" xr10:uidLastSave="{00000000-0000-0000-0000-000000000000}"/>
  <bookViews>
    <workbookView xWindow="28680" yWindow="-120" windowWidth="29040" windowHeight="15840" tabRatio="503" firstSheet="1" activeTab="1" xr2:uid="{00000000-000D-0000-FFFF-FFFF00000000}"/>
  </bookViews>
  <sheets>
    <sheet name="&lt;Instructions_Generic format&gt;" sheetId="5" state="hidden" r:id="rId1"/>
    <sheet name="Review" sheetId="11" r:id="rId2"/>
    <sheet name="Template Version History " sheetId="10" r:id="rId3"/>
  </sheets>
  <externalReferences>
    <externalReference r:id="rId4"/>
  </externalReferences>
  <definedNames>
    <definedName name="_xlnm.Print_Area" localSheetId="2">'Template Version History 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1" l="1"/>
  <c r="H7" i="11"/>
  <c r="C7" i="11"/>
  <c r="H6" i="11"/>
  <c r="H5" i="11"/>
  <c r="A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akolasj</author>
    <author>abachomi</author>
  </authors>
  <commentList>
    <comment ref="H4" authorId="0" shapeId="0" xr:uid="{DEAA1A0C-0006-4058-9256-1795654E8914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libri"/>
            <family val="2"/>
          </rPr>
          <t>Update the count formulas when statements are added.</t>
        </r>
      </text>
    </comment>
    <comment ref="H19" authorId="1" shapeId="0" xr:uid="{A571E621-072C-4ABB-BAB0-35BC92708FB4}">
      <text>
        <r>
          <rPr>
            <sz val="8"/>
            <color indexed="81"/>
            <rFont val="Calibri"/>
            <family val="2"/>
            <scheme val="minor"/>
          </rPr>
          <t>Fill the equivalent status: &lt;G, Y, R, or NA&gt;.</t>
        </r>
      </text>
    </comment>
    <comment ref="I19" authorId="1" shapeId="0" xr:uid="{57AE93AB-8DCC-414A-808A-B49FE426AF13}">
      <text>
        <r>
          <rPr>
            <sz val="9"/>
            <color indexed="81"/>
            <rFont val="Calibri"/>
            <family val="2"/>
            <scheme val="minor"/>
          </rPr>
          <t>If necessary, fill the comments for statement rating or statement adjustment.</t>
        </r>
      </text>
    </comment>
  </commentList>
</comments>
</file>

<file path=xl/sharedStrings.xml><?xml version="1.0" encoding="utf-8"?>
<sst xmlns="http://schemas.openxmlformats.org/spreadsheetml/2006/main" count="102" uniqueCount="67">
  <si>
    <t>Purpose</t>
  </si>
  <si>
    <t>&lt;Describe the purpose of the form.&gt;</t>
  </si>
  <si>
    <t>&lt;Describe any special steps that need to be followed to complete the form.&gt;</t>
  </si>
  <si>
    <t>&lt;text…&gt;</t>
  </si>
  <si>
    <t>&lt;DD-MMM-YYYY&gt;</t>
  </si>
  <si>
    <t>R</t>
  </si>
  <si>
    <t>N/A</t>
  </si>
  <si>
    <t>Result</t>
  </si>
  <si>
    <t>1</t>
  </si>
  <si>
    <t>2</t>
  </si>
  <si>
    <t>Instructions</t>
  </si>
  <si>
    <t>Version History</t>
  </si>
  <si>
    <t>Release Date</t>
  </si>
  <si>
    <t>Author</t>
  </si>
  <si>
    <t>Description of Changes</t>
  </si>
  <si>
    <t>&lt;Last Name&gt;, &lt;First Name&gt;</t>
  </si>
  <si>
    <t>&lt;Description&gt;</t>
  </si>
  <si>
    <t>&lt;Document Name -- Instructions&gt;</t>
  </si>
  <si>
    <t>Provide the description of changes related to update of the template. A released version of the template may include more than one change described in table.</t>
  </si>
  <si>
    <t>Template Version History</t>
  </si>
  <si>
    <t>Date</t>
  </si>
  <si>
    <t>Version Number</t>
  </si>
  <si>
    <t>ahorri</t>
  </si>
  <si>
    <t>08/042025</t>
  </si>
  <si>
    <t>Source Code Review Checklist</t>
  </si>
  <si>
    <t>Y</t>
  </si>
  <si>
    <t>Project Identification</t>
  </si>
  <si>
    <t>Automatic RYG Counter</t>
  </si>
  <si>
    <t>G</t>
  </si>
  <si>
    <t>= R = Not Satisfied</t>
  </si>
  <si>
    <t>= Y = Partially Satisfied</t>
  </si>
  <si>
    <t>Component</t>
  </si>
  <si>
    <t>= G = either Largely Satisfied or Fully Satisfied</t>
  </si>
  <si>
    <t>= N/A = Not Applicable</t>
  </si>
  <si>
    <t>Reviewer</t>
  </si>
  <si>
    <t>Review Date</t>
  </si>
  <si>
    <t xml:space="preserve">      Review Checklist </t>
  </si>
  <si>
    <t>Comments</t>
  </si>
  <si>
    <t>The programming style of the source code meets the following standards:</t>
  </si>
  <si>
    <t xml:space="preserve">   MISRA-C:2012 Guidelines for the use of the C language in critical systems</t>
  </si>
  <si>
    <t xml:space="preserve">   MISRA-C:2008 Guidelines for the use of the CPP language in critical systems</t>
  </si>
  <si>
    <t>Not used</t>
  </si>
  <si>
    <t xml:space="preserve">   Visteon Coding Standart C (Doc No 4605)</t>
  </si>
  <si>
    <t xml:space="preserve">   Software C Coding Style Guide (Doc No 4076)</t>
  </si>
  <si>
    <t xml:space="preserve">   Top Software Code Critical Issues &amp; Prevention Guide (Doc No 3370)</t>
  </si>
  <si>
    <r>
      <t xml:space="preserve">  </t>
    </r>
    <r>
      <rPr>
        <sz val="11"/>
        <rFont val="Calibri"/>
        <family val="2"/>
        <scheme val="minor"/>
      </rPr>
      <t xml:space="preserve"> Visteon Coding Standard CPP (Doc No 4606)</t>
    </r>
  </si>
  <si>
    <t>The header files from the software component apply the Source Code Templates.</t>
  </si>
  <si>
    <t>Not applicable for this review</t>
  </si>
  <si>
    <t>The source files from the software component apply the Source Code Templates.</t>
  </si>
  <si>
    <t xml:space="preserve">The code compiles without warnings and errors to the level defined in the standards. </t>
  </si>
  <si>
    <t>The source code change history is maintained and recorded within the source files with the Change Request (CR) number applied between 2 versions.</t>
  </si>
  <si>
    <t>The verification of source code is automatic through the Statis Analysis tool with MISRA and COVERITY analysis.</t>
  </si>
  <si>
    <t>6a.</t>
  </si>
  <si>
    <t>Coverity and Misra warnings analysed and resolved as defined in project's strategy.</t>
  </si>
  <si>
    <t>Component tests are done.</t>
  </si>
  <si>
    <t>Component tests are recorded.</t>
  </si>
  <si>
    <t>The strategy for the test coverage percentage is defined.</t>
  </si>
  <si>
    <t>The strategy for the test coverage percentage is measured.</t>
  </si>
  <si>
    <t>Test objectives for the component test cases are recorded.</t>
  </si>
  <si>
    <t>The results from the planned component test cases are recorded.</t>
  </si>
  <si>
    <t>The test plan is maintained.</t>
  </si>
  <si>
    <t>ahorri@visteon.com</t>
  </si>
  <si>
    <t>rselvar7@visteon.com</t>
  </si>
  <si>
    <t>Project</t>
  </si>
  <si>
    <t>STLA</t>
  </si>
  <si>
    <t>Review Item</t>
  </si>
  <si>
    <t>https://visteon.atlassian.net/browse/SSTLA31040-28322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</si>
</sst>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[$-409]d\-mmm\-yy;@"/>
    <numFmt numFmtId="166" formatCode="[$-409]dd\-mmm\-yy;@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0"/>
      <name val="Arial"/>
      <family val="2"/>
    </font>
    <font>
      <sz val="16"/>
      <color theme="1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sz val="18"/>
      <name val="Arial"/>
      <family val="2"/>
    </font>
    <font>
      <sz val="1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8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Calibri"/>
      <family val="2"/>
    </font>
    <font>
      <sz val="8"/>
      <color indexed="81"/>
      <name val="Calibri"/>
      <family val="2"/>
      <scheme val="minor"/>
    </font>
    <font>
      <sz val="9"/>
      <color indexed="8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F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3">
    <xf numFmtId="0" fontId="0" fillId="0" borderId="0"/>
    <xf numFmtId="0" fontId="9" fillId="0" borderId="0"/>
    <xf numFmtId="0" fontId="16" fillId="0" borderId="0" applyNumberFormat="0" applyFill="0" applyBorder="0" applyAlignment="0" applyProtection="0"/>
  </cellStyleXfs>
  <cellXfs count="127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vertical="top" wrapText="1"/>
    </xf>
    <xf numFmtId="49" fontId="6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14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165" fontId="12" fillId="0" borderId="1" xfId="0" applyNumberFormat="1" applyFont="1" applyBorder="1" applyAlignment="1" applyProtection="1">
      <alignment horizontal="center" vertical="center"/>
      <protection locked="0"/>
    </xf>
    <xf numFmtId="0" fontId="15" fillId="0" borderId="10" xfId="1" applyFont="1" applyBorder="1" applyAlignment="1">
      <alignment horizontal="center" vertical="center" wrapText="1"/>
    </xf>
    <xf numFmtId="165" fontId="12" fillId="0" borderId="1" xfId="0" applyNumberFormat="1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Protection="1">
      <protection locked="0"/>
    </xf>
    <xf numFmtId="0" fontId="14" fillId="0" borderId="9" xfId="0" applyFont="1" applyBorder="1" applyProtection="1">
      <protection locked="0"/>
    </xf>
    <xf numFmtId="0" fontId="12" fillId="0" borderId="8" xfId="0" applyFont="1" applyBorder="1" applyProtection="1">
      <protection locked="0"/>
    </xf>
    <xf numFmtId="0" fontId="12" fillId="0" borderId="9" xfId="0" applyFont="1" applyBorder="1" applyProtection="1">
      <protection locked="0"/>
    </xf>
    <xf numFmtId="0" fontId="11" fillId="0" borderId="0" xfId="0" applyFont="1" applyProtection="1">
      <protection locked="0"/>
    </xf>
    <xf numFmtId="0" fontId="1" fillId="0" borderId="8" xfId="0" applyFont="1" applyBorder="1" applyProtection="1">
      <protection locked="0"/>
    </xf>
    <xf numFmtId="0" fontId="1" fillId="0" borderId="9" xfId="0" applyFont="1" applyBorder="1" applyProtection="1">
      <protection locked="0"/>
    </xf>
    <xf numFmtId="0" fontId="1" fillId="0" borderId="11" xfId="0" applyFont="1" applyBorder="1" applyProtection="1">
      <protection locked="0"/>
    </xf>
    <xf numFmtId="0" fontId="1" fillId="0" borderId="15" xfId="0" applyFont="1" applyBorder="1" applyProtection="1">
      <protection locked="0"/>
    </xf>
    <xf numFmtId="0" fontId="1" fillId="0" borderId="16" xfId="0" applyFont="1" applyBorder="1" applyProtection="1">
      <protection locked="0"/>
    </xf>
    <xf numFmtId="0" fontId="6" fillId="0" borderId="0" xfId="0" applyFont="1" applyAlignment="1">
      <alignment horizontal="left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 wrapText="1"/>
    </xf>
    <xf numFmtId="49" fontId="10" fillId="0" borderId="3" xfId="0" applyNumberFormat="1" applyFont="1" applyBorder="1" applyAlignment="1">
      <alignment horizontal="left" vertical="center" wrapText="1"/>
    </xf>
    <xf numFmtId="49" fontId="10" fillId="0" borderId="4" xfId="0" applyNumberFormat="1" applyFont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5" fillId="3" borderId="12" xfId="0" applyFont="1" applyFill="1" applyBorder="1" applyAlignment="1" applyProtection="1">
      <alignment horizontal="center" vertical="center"/>
      <protection locked="0"/>
    </xf>
    <xf numFmtId="0" fontId="5" fillId="3" borderId="13" xfId="0" applyFont="1" applyFill="1" applyBorder="1" applyAlignment="1" applyProtection="1">
      <alignment horizontal="center" vertical="center"/>
      <protection locked="0"/>
    </xf>
    <xf numFmtId="0" fontId="5" fillId="3" borderId="14" xfId="0" applyFont="1" applyFill="1" applyBorder="1" applyAlignment="1" applyProtection="1">
      <alignment horizontal="center" vertical="center"/>
      <protection locked="0"/>
    </xf>
    <xf numFmtId="0" fontId="19" fillId="0" borderId="0" xfId="0" applyFont="1"/>
    <xf numFmtId="0" fontId="19" fillId="0" borderId="0" xfId="0" applyFont="1" applyAlignment="1">
      <alignment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2" fillId="6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2" fillId="8" borderId="0" xfId="0" applyFont="1" applyFill="1" applyAlignment="1">
      <alignment horizontal="center"/>
    </xf>
    <xf numFmtId="0" fontId="24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4" fillId="3" borderId="1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3" borderId="2" xfId="0" applyFont="1" applyFill="1" applyBorder="1" applyAlignment="1">
      <alignment horizontal="right" vertical="center"/>
    </xf>
    <xf numFmtId="0" fontId="24" fillId="3" borderId="4" xfId="0" applyFont="1" applyFill="1" applyBorder="1" applyAlignment="1">
      <alignment horizontal="right" vertical="center"/>
    </xf>
    <xf numFmtId="0" fontId="26" fillId="4" borderId="1" xfId="0" applyFont="1" applyFill="1" applyBorder="1" applyAlignment="1">
      <alignment horizontal="center" vertical="center"/>
    </xf>
    <xf numFmtId="49" fontId="27" fillId="2" borderId="2" xfId="0" applyNumberFormat="1" applyFont="1" applyFill="1" applyBorder="1" applyAlignment="1">
      <alignment horizontal="left" vertical="center"/>
    </xf>
    <xf numFmtId="49" fontId="27" fillId="2" borderId="3" xfId="0" applyNumberFormat="1" applyFont="1" applyFill="1" applyBorder="1" applyAlignment="1">
      <alignment horizontal="left" vertical="center"/>
    </xf>
    <xf numFmtId="49" fontId="27" fillId="2" borderId="4" xfId="0" applyNumberFormat="1" applyFont="1" applyFill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2" fillId="10" borderId="0" xfId="0" applyFont="1" applyFill="1" applyAlignment="1">
      <alignment horizontal="center" vertical="center"/>
    </xf>
    <xf numFmtId="0" fontId="22" fillId="9" borderId="3" xfId="0" applyFont="1" applyFill="1" applyBorder="1" applyAlignment="1">
      <alignment horizontal="left" vertical="center" indent="1"/>
    </xf>
    <xf numFmtId="0" fontId="22" fillId="9" borderId="4" xfId="0" applyFont="1" applyFill="1" applyBorder="1" applyAlignment="1">
      <alignment horizontal="left" vertical="center" indent="1"/>
    </xf>
    <xf numFmtId="0" fontId="29" fillId="0" borderId="0" xfId="0" applyFont="1" applyAlignment="1">
      <alignment horizontal="right"/>
    </xf>
    <xf numFmtId="0" fontId="26" fillId="11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 indent="1"/>
    </xf>
    <xf numFmtId="0" fontId="0" fillId="3" borderId="4" xfId="0" applyFill="1" applyBorder="1" applyAlignment="1">
      <alignment vertical="center"/>
    </xf>
    <xf numFmtId="0" fontId="31" fillId="0" borderId="0" xfId="0" applyFont="1" applyAlignment="1">
      <alignment horizontal="center"/>
    </xf>
    <xf numFmtId="0" fontId="26" fillId="5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 applyAlignment="1" applyProtection="1">
      <alignment horizontal="left" vertical="center" indent="1"/>
      <protection locked="0"/>
    </xf>
    <xf numFmtId="0" fontId="0" fillId="3" borderId="4" xfId="0" applyFill="1" applyBorder="1" applyAlignment="1">
      <alignment horizontal="right" vertical="center"/>
    </xf>
    <xf numFmtId="0" fontId="32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166" fontId="22" fillId="9" borderId="3" xfId="0" applyNumberFormat="1" applyFont="1" applyFill="1" applyBorder="1" applyAlignment="1">
      <alignment horizontal="left" vertical="center" indent="1"/>
    </xf>
    <xf numFmtId="166" fontId="22" fillId="9" borderId="4" xfId="0" applyNumberFormat="1" applyFont="1" applyFill="1" applyBorder="1" applyAlignment="1">
      <alignment horizontal="left" vertical="center" indent="1"/>
    </xf>
    <xf numFmtId="0" fontId="32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65" fontId="30" fillId="0" borderId="0" xfId="0" applyNumberFormat="1" applyFont="1" applyAlignment="1">
      <alignment horizontal="left" vertical="center" indent="1"/>
    </xf>
    <xf numFmtId="0" fontId="28" fillId="0" borderId="0" xfId="0" applyFont="1"/>
    <xf numFmtId="0" fontId="24" fillId="0" borderId="0" xfId="0" applyFont="1" applyAlignment="1">
      <alignment horizontal="right" vertical="center"/>
    </xf>
    <xf numFmtId="0" fontId="22" fillId="0" borderId="0" xfId="0" applyFont="1" applyAlignment="1">
      <alignment horizontal="left" vertical="center" indent="1"/>
    </xf>
    <xf numFmtId="0" fontId="3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22" fillId="0" borderId="0" xfId="0" applyNumberFormat="1" applyFont="1" applyAlignment="1">
      <alignment horizontal="left" vertical="center" indent="1"/>
    </xf>
    <xf numFmtId="0" fontId="34" fillId="3" borderId="2" xfId="0" applyFont="1" applyFill="1" applyBorder="1" applyAlignment="1">
      <alignment horizontal="left" vertical="center"/>
    </xf>
    <xf numFmtId="0" fontId="34" fillId="3" borderId="3" xfId="0" applyFont="1" applyFill="1" applyBorder="1" applyAlignment="1">
      <alignment horizontal="left" vertical="center"/>
    </xf>
    <xf numFmtId="0" fontId="34" fillId="3" borderId="4" xfId="0" applyFont="1" applyFill="1" applyBorder="1" applyAlignment="1">
      <alignment horizontal="left" vertical="center"/>
    </xf>
    <xf numFmtId="0" fontId="34" fillId="3" borderId="5" xfId="0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/>
    </xf>
    <xf numFmtId="0" fontId="34" fillId="3" borderId="3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27" fillId="10" borderId="1" xfId="0" applyFont="1" applyFill="1" applyBorder="1" applyAlignment="1" applyProtection="1">
      <alignment horizontal="center" vertical="center" wrapText="1"/>
      <protection locked="0"/>
    </xf>
    <xf numFmtId="0" fontId="17" fillId="10" borderId="2" xfId="0" applyFont="1" applyFill="1" applyBorder="1" applyAlignment="1" applyProtection="1">
      <alignment horizontal="left" vertical="top" wrapText="1"/>
      <protection locked="0"/>
    </xf>
    <xf numFmtId="0" fontId="17" fillId="10" borderId="3" xfId="0" applyFont="1" applyFill="1" applyBorder="1" applyAlignment="1" applyProtection="1">
      <alignment horizontal="left" vertical="top" wrapText="1"/>
      <protection locked="0"/>
    </xf>
    <xf numFmtId="0" fontId="17" fillId="10" borderId="4" xfId="0" applyFont="1" applyFill="1" applyBorder="1" applyAlignment="1" applyProtection="1">
      <alignment horizontal="left" vertical="top" wrapText="1"/>
      <protection locked="0"/>
    </xf>
    <xf numFmtId="0" fontId="19" fillId="12" borderId="0" xfId="0" applyFont="1" applyFill="1"/>
    <xf numFmtId="0" fontId="0" fillId="0" borderId="19" xfId="0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7" fillId="2" borderId="1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left" vertical="center" wrapText="1"/>
    </xf>
    <xf numFmtId="49" fontId="17" fillId="10" borderId="3" xfId="0" applyNumberFormat="1" applyFont="1" applyFill="1" applyBorder="1" applyAlignment="1" applyProtection="1">
      <alignment horizontal="left" vertical="top" wrapText="1"/>
      <protection locked="0"/>
    </xf>
    <xf numFmtId="49" fontId="17" fillId="10" borderId="4" xfId="0" applyNumberFormat="1" applyFont="1" applyFill="1" applyBorder="1" applyAlignment="1" applyProtection="1">
      <alignment horizontal="left" vertical="top" wrapText="1"/>
      <protection locked="0"/>
    </xf>
    <xf numFmtId="0" fontId="27" fillId="0" borderId="2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 wrapText="1"/>
    </xf>
    <xf numFmtId="0" fontId="16" fillId="9" borderId="3" xfId="2" applyFill="1" applyBorder="1" applyAlignment="1">
      <alignment horizontal="left" vertical="center" indent="1"/>
    </xf>
    <xf numFmtId="0" fontId="22" fillId="9" borderId="2" xfId="0" applyFont="1" applyFill="1" applyBorder="1" applyAlignment="1">
      <alignment horizontal="left" vertical="center" indent="1"/>
    </xf>
    <xf numFmtId="0" fontId="16" fillId="9" borderId="2" xfId="2" applyFill="1" applyBorder="1" applyAlignment="1">
      <alignment horizontal="left" vertical="center" indent="1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22"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D8D8D8"/>
      <color rgb="FFFFE1E1"/>
      <color rgb="FFFFC1C1"/>
      <color rgb="FF66FF33"/>
      <color rgb="FF16F61B"/>
      <color rgb="FFFFFFCC"/>
      <color rgb="FFFF00FF"/>
      <color rgb="FFE0F7FF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horri\Desktop\SM2\Critical%20Code%20Review_VAutosar_SafetManualReview.xlsm" TargetMode="External"/><Relationship Id="rId1" Type="http://schemas.openxmlformats.org/officeDocument/2006/relationships/externalLinkPath" Target="Critical%20Code%20Review_VAutosar_SafetManualReview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oftware Component"/>
      <sheetName val="Review Checklist_IT#"/>
      <sheetName val="Verification_IT#"/>
      <sheetName val="SSR Verification_IT#"/>
      <sheetName val="IssueLog_CMP_IT#"/>
      <sheetName val="Static_Analysis_IT#"/>
      <sheetName val="Template Version History "/>
    </sheetNames>
    <sheetDataSet>
      <sheetData sheetId="0"/>
      <sheetData sheetId="1">
        <row r="7">
          <cell r="B7" t="str">
            <v>Safety Manual review - vautosar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visteon.atlassian.net/browse/SSTLA31040-28322" TargetMode="External"/><Relationship Id="rId2" Type="http://schemas.openxmlformats.org/officeDocument/2006/relationships/hyperlink" Target="mailto:rselvar7@visteon.com" TargetMode="External"/><Relationship Id="rId1" Type="http://schemas.openxmlformats.org/officeDocument/2006/relationships/hyperlink" Target="mailto:ahorri@visteon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L15"/>
  <sheetViews>
    <sheetView showGridLines="0" zoomScaleNormal="100" workbookViewId="0">
      <selection activeCell="B4" sqref="B4:K4"/>
    </sheetView>
  </sheetViews>
  <sheetFormatPr defaultColWidth="9.140625" defaultRowHeight="14.25" x14ac:dyDescent="0.2"/>
  <cols>
    <col min="1" max="1" width="9.140625" style="3" customWidth="1"/>
    <col min="2" max="3" width="9.140625" style="1" customWidth="1"/>
    <col min="4" max="16384" width="9.140625" style="1"/>
  </cols>
  <sheetData>
    <row r="1" spans="1:12" ht="23.25" customHeight="1" x14ac:dyDescent="0.2">
      <c r="A1" s="40" t="s">
        <v>17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2"/>
    </row>
    <row r="3" spans="1:12" ht="15.75" x14ac:dyDescent="0.25">
      <c r="A3" s="5"/>
      <c r="B3" s="27" t="s">
        <v>0</v>
      </c>
      <c r="C3" s="27"/>
    </row>
    <row r="4" spans="1:12" ht="15" customHeight="1" x14ac:dyDescent="0.2">
      <c r="B4" s="46" t="s">
        <v>1</v>
      </c>
      <c r="C4" s="46"/>
      <c r="D4" s="46"/>
      <c r="E4" s="46"/>
      <c r="F4" s="46"/>
      <c r="G4" s="46"/>
      <c r="H4" s="46"/>
      <c r="I4" s="46"/>
      <c r="J4" s="46"/>
      <c r="K4" s="46"/>
      <c r="L4" s="4"/>
    </row>
    <row r="6" spans="1:12" ht="15.75" x14ac:dyDescent="0.25">
      <c r="A6" s="5"/>
      <c r="B6" s="27" t="s">
        <v>10</v>
      </c>
      <c r="C6" s="27"/>
    </row>
    <row r="7" spans="1:12" x14ac:dyDescent="0.2">
      <c r="B7" s="44" t="s">
        <v>2</v>
      </c>
      <c r="C7" s="44"/>
      <c r="D7" s="44"/>
      <c r="E7" s="44"/>
      <c r="F7" s="44"/>
      <c r="G7" s="44"/>
      <c r="H7" s="44"/>
      <c r="I7" s="44"/>
      <c r="J7" s="44"/>
      <c r="K7" s="44"/>
    </row>
    <row r="8" spans="1:12" ht="15" x14ac:dyDescent="0.25">
      <c r="B8" s="6" t="s">
        <v>8</v>
      </c>
      <c r="C8" s="45" t="s">
        <v>3</v>
      </c>
      <c r="D8" s="45"/>
      <c r="E8" s="45"/>
      <c r="F8" s="45"/>
      <c r="G8" s="45"/>
      <c r="H8" s="45"/>
      <c r="I8" s="45"/>
      <c r="J8" s="45"/>
      <c r="K8" s="45"/>
    </row>
    <row r="9" spans="1:12" ht="15" x14ac:dyDescent="0.25">
      <c r="B9" s="6" t="s">
        <v>9</v>
      </c>
      <c r="C9" s="45" t="s">
        <v>3</v>
      </c>
      <c r="D9" s="45"/>
      <c r="E9" s="45"/>
      <c r="F9" s="45"/>
      <c r="G9" s="45"/>
      <c r="H9" s="45"/>
      <c r="I9" s="45"/>
      <c r="J9" s="45"/>
      <c r="K9" s="45"/>
    </row>
    <row r="10" spans="1:12" ht="18" x14ac:dyDescent="0.25">
      <c r="A10" s="2"/>
      <c r="B10" s="43"/>
      <c r="C10" s="43"/>
    </row>
    <row r="11" spans="1:12" ht="18" x14ac:dyDescent="0.25">
      <c r="A11" s="2"/>
      <c r="B11" s="27" t="s">
        <v>11</v>
      </c>
      <c r="C11" s="27"/>
    </row>
    <row r="12" spans="1:12" ht="27" customHeight="1" x14ac:dyDescent="0.2">
      <c r="B12" s="34" t="s">
        <v>12</v>
      </c>
      <c r="C12" s="35"/>
      <c r="D12" s="28" t="s">
        <v>13</v>
      </c>
      <c r="E12" s="29"/>
      <c r="F12" s="29"/>
      <c r="G12" s="28" t="s">
        <v>14</v>
      </c>
      <c r="H12" s="29"/>
      <c r="I12" s="29"/>
      <c r="J12" s="29"/>
      <c r="K12" s="29"/>
      <c r="L12" s="30"/>
    </row>
    <row r="13" spans="1:12" ht="15" customHeight="1" x14ac:dyDescent="0.2">
      <c r="B13" s="36" t="s">
        <v>4</v>
      </c>
      <c r="C13" s="37"/>
      <c r="D13" s="38" t="s">
        <v>15</v>
      </c>
      <c r="E13" s="39"/>
      <c r="F13" s="39"/>
      <c r="G13" s="31" t="s">
        <v>16</v>
      </c>
      <c r="H13" s="32"/>
      <c r="I13" s="32"/>
      <c r="J13" s="32"/>
      <c r="K13" s="32"/>
      <c r="L13" s="33"/>
    </row>
    <row r="14" spans="1:12" ht="15" customHeight="1" x14ac:dyDescent="0.2">
      <c r="B14" s="36" t="s">
        <v>4</v>
      </c>
      <c r="C14" s="37"/>
      <c r="D14" s="38" t="s">
        <v>15</v>
      </c>
      <c r="E14" s="39"/>
      <c r="F14" s="39"/>
      <c r="G14" s="31" t="s">
        <v>16</v>
      </c>
      <c r="H14" s="32"/>
      <c r="I14" s="32"/>
      <c r="J14" s="32"/>
      <c r="K14" s="32"/>
      <c r="L14" s="33"/>
    </row>
    <row r="15" spans="1:12" ht="15" customHeight="1" x14ac:dyDescent="0.2">
      <c r="B15" s="36" t="s">
        <v>4</v>
      </c>
      <c r="C15" s="37"/>
      <c r="D15" s="38" t="s">
        <v>15</v>
      </c>
      <c r="E15" s="39"/>
      <c r="F15" s="39"/>
      <c r="G15" s="31" t="s">
        <v>16</v>
      </c>
      <c r="H15" s="32"/>
      <c r="I15" s="32"/>
      <c r="J15" s="32"/>
      <c r="K15" s="32"/>
      <c r="L15" s="33"/>
    </row>
  </sheetData>
  <mergeCells count="21">
    <mergeCell ref="A1:L1"/>
    <mergeCell ref="B3:C3"/>
    <mergeCell ref="B6:C6"/>
    <mergeCell ref="B10:C10"/>
    <mergeCell ref="B7:K7"/>
    <mergeCell ref="C8:K8"/>
    <mergeCell ref="C9:K9"/>
    <mergeCell ref="B4:K4"/>
    <mergeCell ref="B11:C11"/>
    <mergeCell ref="G12:L12"/>
    <mergeCell ref="G13:L13"/>
    <mergeCell ref="G14:L14"/>
    <mergeCell ref="G15:L15"/>
    <mergeCell ref="B12:C12"/>
    <mergeCell ref="B13:C13"/>
    <mergeCell ref="B14:C14"/>
    <mergeCell ref="B15:C15"/>
    <mergeCell ref="D12:F12"/>
    <mergeCell ref="D13:F13"/>
    <mergeCell ref="D14:F14"/>
    <mergeCell ref="D15:F15"/>
  </mergeCells>
  <pageMargins left="0.5" right="1.20145833333333" top="0.86458333300000001" bottom="0.75" header="0.3" footer="0.3"/>
  <pageSetup scale="79" fitToHeight="0" orientation="portrait" r:id="rId1"/>
  <headerFooter>
    <oddHeader>&amp;L&amp;G&amp;R&amp;"Arial,Bold"&amp;10ELECTRONICS&amp;"Arial,Regular"
&amp;9&lt;Discipline&gt;</oddHeader>
    <oddFooter>&amp;L&amp;"Arial,Regular"&amp;8Release Date: DD-MMM-YYYY&amp;C&amp;"Arial,Regular"&amp;8Visteon Corporation
Proprietary and Confidential&amp;R&amp;"Arial,Regular"&amp;8Page &amp;P of &amp;N</oddFooter>
  </headerFooter>
  <ignoredErrors>
    <ignoredError sqref="B8 B9" numberStoredAsText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9853-ECFE-4E99-B754-00187EFDF626}">
  <dimension ref="A1:Z39"/>
  <sheetViews>
    <sheetView tabSelected="1" topLeftCell="A24" workbookViewId="0">
      <selection activeCell="G49" sqref="G49"/>
    </sheetView>
  </sheetViews>
  <sheetFormatPr defaultColWidth="11.42578125" defaultRowHeight="12.75" x14ac:dyDescent="0.2"/>
  <cols>
    <col min="1" max="1" width="3.7109375" style="62" customWidth="1"/>
    <col min="2" max="2" width="25.7109375" style="62" customWidth="1"/>
    <col min="3" max="3" width="31" style="62" customWidth="1"/>
    <col min="4" max="4" width="9.28515625" style="62" customWidth="1"/>
    <col min="5" max="5" width="8.5703125" style="51" customWidth="1"/>
    <col min="6" max="6" width="5.28515625" style="51" customWidth="1"/>
    <col min="7" max="7" width="22.28515625" style="62" customWidth="1"/>
    <col min="8" max="8" width="9.42578125" style="51" customWidth="1"/>
    <col min="9" max="11" width="11.42578125" style="50"/>
    <col min="12" max="12" width="23.7109375" style="50" customWidth="1"/>
    <col min="13" max="13" width="11.42578125" style="50"/>
    <col min="14" max="14" width="9.7109375" style="50" customWidth="1"/>
    <col min="15" max="24" width="11.42578125" style="50"/>
    <col min="25" max="25" width="12" style="50" customWidth="1"/>
    <col min="26" max="26" width="1.5703125" style="50" hidden="1" customWidth="1"/>
    <col min="27" max="16384" width="11.42578125" style="50"/>
  </cols>
  <sheetData>
    <row r="1" spans="1:26" hidden="1" x14ac:dyDescent="0.2">
      <c r="A1" s="50"/>
      <c r="B1" s="50"/>
      <c r="C1" s="50"/>
      <c r="D1" s="50"/>
      <c r="E1" s="50"/>
      <c r="F1" s="50"/>
      <c r="G1" s="50"/>
    </row>
    <row r="2" spans="1:26" ht="23.25" x14ac:dyDescent="0.2">
      <c r="A2" s="52" t="s">
        <v>24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4"/>
      <c r="Z2" s="55" t="s">
        <v>5</v>
      </c>
    </row>
    <row r="3" spans="1:26" ht="18.75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Z3" s="57" t="s">
        <v>25</v>
      </c>
    </row>
    <row r="4" spans="1:26" ht="15.75" x14ac:dyDescent="0.2">
      <c r="A4" s="58" t="s">
        <v>26</v>
      </c>
      <c r="B4" s="59"/>
      <c r="C4" s="59"/>
      <c r="D4" s="60"/>
      <c r="E4" s="61"/>
      <c r="F4" s="50"/>
      <c r="H4" s="63" t="s">
        <v>27</v>
      </c>
      <c r="I4" s="63"/>
      <c r="J4" s="63"/>
      <c r="K4" s="63"/>
      <c r="L4" s="63"/>
      <c r="Z4" s="64" t="s">
        <v>28</v>
      </c>
    </row>
    <row r="5" spans="1:26" ht="15.75" x14ac:dyDescent="0.2">
      <c r="A5" s="65" t="s">
        <v>63</v>
      </c>
      <c r="B5" s="66"/>
      <c r="C5" s="125" t="s">
        <v>64</v>
      </c>
      <c r="D5" s="74"/>
      <c r="E5" s="61"/>
      <c r="F5" s="50"/>
      <c r="H5" s="67">
        <f>COUNTIF(H20:H39,"R")</f>
        <v>0</v>
      </c>
      <c r="I5" s="68" t="s">
        <v>29</v>
      </c>
      <c r="J5" s="69"/>
      <c r="K5" s="69"/>
      <c r="L5" s="70"/>
      <c r="M5" s="71"/>
      <c r="Z5" s="72" t="s">
        <v>6</v>
      </c>
    </row>
    <row r="6" spans="1:26" ht="15.75" x14ac:dyDescent="0.2">
      <c r="A6" s="65" t="s">
        <v>65</v>
      </c>
      <c r="B6" s="66"/>
      <c r="C6" s="126" t="s">
        <v>66</v>
      </c>
      <c r="D6" s="74"/>
      <c r="E6" s="61"/>
      <c r="F6" s="75"/>
      <c r="H6" s="76">
        <f>COUNTIF(H20:H39,"Y")</f>
        <v>0</v>
      </c>
      <c r="I6" s="68" t="s">
        <v>30</v>
      </c>
      <c r="J6" s="69"/>
      <c r="K6" s="69"/>
      <c r="L6" s="70"/>
      <c r="M6" s="77"/>
    </row>
    <row r="7" spans="1:26" ht="15.75" x14ac:dyDescent="0.2">
      <c r="A7" s="65" t="s">
        <v>31</v>
      </c>
      <c r="B7" s="78"/>
      <c r="C7" s="73" t="str">
        <f>IF('[1]Software Component'!B7=0,"",'[1]Software Component'!B7)</f>
        <v>Safety Manual review - vautosar</v>
      </c>
      <c r="D7" s="74"/>
      <c r="E7" s="79"/>
      <c r="F7" s="75"/>
      <c r="H7" s="80">
        <f>COUNTIF(H20:H39,"G")</f>
        <v>12</v>
      </c>
      <c r="I7" s="68" t="s">
        <v>32</v>
      </c>
      <c r="J7" s="69"/>
      <c r="K7" s="69"/>
      <c r="L7" s="70"/>
      <c r="M7" s="77"/>
    </row>
    <row r="8" spans="1:26" ht="15.75" x14ac:dyDescent="0.2">
      <c r="A8" s="65" t="s">
        <v>13</v>
      </c>
      <c r="B8" s="78"/>
      <c r="C8" s="124" t="s">
        <v>61</v>
      </c>
      <c r="D8" s="74"/>
      <c r="E8" s="79"/>
      <c r="F8" s="75"/>
      <c r="H8" s="81">
        <f>COUNTIF(H20:H39,"N/A")</f>
        <v>7</v>
      </c>
      <c r="I8" s="68" t="s">
        <v>33</v>
      </c>
      <c r="J8" s="69"/>
      <c r="K8" s="69"/>
      <c r="L8" s="70"/>
      <c r="M8" s="82"/>
    </row>
    <row r="9" spans="1:26" ht="15.75" x14ac:dyDescent="0.2">
      <c r="A9" s="65" t="s">
        <v>34</v>
      </c>
      <c r="B9" s="83"/>
      <c r="C9" s="124" t="s">
        <v>62</v>
      </c>
      <c r="D9" s="74"/>
      <c r="K9" s="84"/>
      <c r="L9" s="85"/>
      <c r="M9" s="82"/>
    </row>
    <row r="10" spans="1:26" ht="15.75" x14ac:dyDescent="0.2">
      <c r="A10" s="65" t="s">
        <v>35</v>
      </c>
      <c r="B10" s="83"/>
      <c r="C10" s="86">
        <v>45755</v>
      </c>
      <c r="D10" s="87"/>
      <c r="K10" s="88"/>
      <c r="L10" s="88"/>
      <c r="M10" s="77"/>
    </row>
    <row r="11" spans="1:26" x14ac:dyDescent="0.2">
      <c r="K11" s="88"/>
      <c r="L11" s="88"/>
      <c r="M11" s="77"/>
    </row>
    <row r="12" spans="1:26" ht="15.75" x14ac:dyDescent="0.2">
      <c r="A12" s="89"/>
      <c r="B12" s="89"/>
      <c r="C12" s="89"/>
      <c r="G12" s="90"/>
      <c r="H12" s="91"/>
      <c r="I12" s="91"/>
      <c r="K12" s="88"/>
      <c r="L12" s="88"/>
      <c r="M12" s="92"/>
    </row>
    <row r="13" spans="1:26" ht="15.75" x14ac:dyDescent="0.2">
      <c r="A13" s="71"/>
      <c r="B13" s="93"/>
      <c r="C13" s="93"/>
      <c r="G13" s="94"/>
      <c r="H13" s="95"/>
      <c r="I13" s="95"/>
    </row>
    <row r="14" spans="1:26" ht="15.75" x14ac:dyDescent="0.2">
      <c r="A14" s="84"/>
      <c r="B14" s="84"/>
      <c r="C14" s="96"/>
      <c r="G14" s="94"/>
      <c r="H14" s="95"/>
      <c r="I14" s="95"/>
    </row>
    <row r="15" spans="1:26" ht="15.75" x14ac:dyDescent="0.2">
      <c r="A15" s="84"/>
      <c r="B15" s="84"/>
      <c r="C15" s="96"/>
      <c r="G15" s="94"/>
      <c r="H15" s="95"/>
      <c r="I15" s="95"/>
    </row>
    <row r="16" spans="1:26" ht="15.75" x14ac:dyDescent="0.2">
      <c r="A16" s="84"/>
      <c r="B16" s="84"/>
      <c r="C16" s="97"/>
      <c r="G16" s="94"/>
      <c r="H16" s="95"/>
      <c r="I16" s="95"/>
    </row>
    <row r="17" spans="1:15" ht="15.75" hidden="1" x14ac:dyDescent="0.2">
      <c r="G17" s="94"/>
      <c r="H17" s="95"/>
      <c r="I17" s="95"/>
    </row>
    <row r="18" spans="1:15" ht="15.75" hidden="1" x14ac:dyDescent="0.2">
      <c r="A18" s="50"/>
      <c r="B18" s="50"/>
      <c r="C18" s="50"/>
      <c r="D18" s="50"/>
      <c r="E18" s="50"/>
      <c r="F18" s="50"/>
      <c r="G18" s="94"/>
      <c r="H18" s="98"/>
      <c r="I18" s="98"/>
    </row>
    <row r="19" spans="1:15" ht="15.75" x14ac:dyDescent="0.2">
      <c r="A19" s="99" t="s">
        <v>36</v>
      </c>
      <c r="B19" s="100"/>
      <c r="C19" s="100"/>
      <c r="D19" s="100"/>
      <c r="E19" s="100"/>
      <c r="F19" s="100"/>
      <c r="G19" s="101"/>
      <c r="H19" s="102" t="s">
        <v>7</v>
      </c>
      <c r="I19" s="103" t="s">
        <v>37</v>
      </c>
      <c r="J19" s="104"/>
      <c r="K19" s="104"/>
      <c r="L19" s="105"/>
    </row>
    <row r="20" spans="1:15" ht="17.25" customHeight="1" x14ac:dyDescent="0.2">
      <c r="A20" s="106">
        <v>1</v>
      </c>
      <c r="B20" s="107" t="s">
        <v>38</v>
      </c>
      <c r="C20" s="108"/>
      <c r="D20" s="108"/>
      <c r="E20" s="108"/>
      <c r="F20" s="108"/>
      <c r="G20" s="108"/>
      <c r="H20" s="109"/>
      <c r="I20" s="110"/>
      <c r="J20" s="111"/>
      <c r="K20" s="111"/>
      <c r="L20" s="112"/>
      <c r="O20" s="113"/>
    </row>
    <row r="21" spans="1:15" ht="20.25" customHeight="1" x14ac:dyDescent="0.2">
      <c r="A21" s="114"/>
      <c r="B21" s="115" t="s">
        <v>39</v>
      </c>
      <c r="C21" s="116"/>
      <c r="D21" s="116"/>
      <c r="E21" s="116"/>
      <c r="F21" s="116"/>
      <c r="G21" s="117"/>
      <c r="H21" s="109" t="s">
        <v>28</v>
      </c>
      <c r="I21" s="110"/>
      <c r="J21" s="111"/>
      <c r="K21" s="111"/>
      <c r="L21" s="112"/>
      <c r="O21" s="113"/>
    </row>
    <row r="22" spans="1:15" ht="20.25" customHeight="1" x14ac:dyDescent="0.2">
      <c r="A22" s="114"/>
      <c r="B22" s="115" t="s">
        <v>40</v>
      </c>
      <c r="C22" s="116"/>
      <c r="D22" s="116"/>
      <c r="E22" s="116"/>
      <c r="F22" s="116"/>
      <c r="G22" s="117"/>
      <c r="H22" s="109" t="s">
        <v>6</v>
      </c>
      <c r="I22" s="110" t="s">
        <v>41</v>
      </c>
      <c r="J22" s="111"/>
      <c r="K22" s="111"/>
      <c r="L22" s="112"/>
      <c r="O22" s="113"/>
    </row>
    <row r="23" spans="1:15" ht="20.25" customHeight="1" x14ac:dyDescent="0.2">
      <c r="A23" s="114"/>
      <c r="B23" s="115" t="s">
        <v>42</v>
      </c>
      <c r="C23" s="116"/>
      <c r="D23" s="116"/>
      <c r="E23" s="116"/>
      <c r="F23" s="116"/>
      <c r="G23" s="117"/>
      <c r="H23" s="109" t="s">
        <v>28</v>
      </c>
      <c r="I23" s="110"/>
      <c r="J23" s="111"/>
      <c r="K23" s="111"/>
      <c r="L23" s="112"/>
      <c r="O23" s="113"/>
    </row>
    <row r="24" spans="1:15" ht="20.25" customHeight="1" x14ac:dyDescent="0.2">
      <c r="A24" s="114"/>
      <c r="B24" s="115" t="s">
        <v>43</v>
      </c>
      <c r="C24" s="116"/>
      <c r="D24" s="116"/>
      <c r="E24" s="116"/>
      <c r="F24" s="116"/>
      <c r="G24" s="117"/>
      <c r="H24" s="109" t="s">
        <v>28</v>
      </c>
      <c r="I24" s="110"/>
      <c r="J24" s="111"/>
      <c r="K24" s="111"/>
      <c r="L24" s="112"/>
      <c r="O24" s="113"/>
    </row>
    <row r="25" spans="1:15" ht="20.25" customHeight="1" x14ac:dyDescent="0.2">
      <c r="A25" s="114"/>
      <c r="B25" s="115" t="s">
        <v>44</v>
      </c>
      <c r="C25" s="116"/>
      <c r="D25" s="116"/>
      <c r="E25" s="116"/>
      <c r="F25" s="116"/>
      <c r="G25" s="117"/>
      <c r="H25" s="109" t="s">
        <v>6</v>
      </c>
      <c r="I25" s="110" t="s">
        <v>41</v>
      </c>
      <c r="J25" s="111"/>
      <c r="K25" s="111"/>
      <c r="L25" s="112"/>
      <c r="O25" s="113"/>
    </row>
    <row r="26" spans="1:15" ht="20.25" customHeight="1" x14ac:dyDescent="0.2">
      <c r="A26" s="114"/>
      <c r="B26" s="115" t="s">
        <v>45</v>
      </c>
      <c r="C26" s="116"/>
      <c r="D26" s="116"/>
      <c r="E26" s="116"/>
      <c r="F26" s="116"/>
      <c r="G26" s="117"/>
      <c r="H26" s="109" t="s">
        <v>6</v>
      </c>
      <c r="I26" s="110" t="s">
        <v>41</v>
      </c>
      <c r="J26" s="111"/>
      <c r="K26" s="111"/>
      <c r="L26" s="112"/>
      <c r="O26" s="113"/>
    </row>
    <row r="27" spans="1:15" ht="25.5" customHeight="1" x14ac:dyDescent="0.2">
      <c r="A27" s="118">
        <v>2</v>
      </c>
      <c r="B27" s="119" t="s">
        <v>46</v>
      </c>
      <c r="C27" s="119"/>
      <c r="D27" s="119"/>
      <c r="E27" s="119"/>
      <c r="F27" s="119"/>
      <c r="G27" s="119"/>
      <c r="H27" s="109" t="s">
        <v>6</v>
      </c>
      <c r="I27" s="120" t="s">
        <v>47</v>
      </c>
      <c r="J27" s="120"/>
      <c r="K27" s="120"/>
      <c r="L27" s="121"/>
      <c r="O27" s="113"/>
    </row>
    <row r="28" spans="1:15" ht="24.75" customHeight="1" x14ac:dyDescent="0.2">
      <c r="A28" s="118">
        <v>3</v>
      </c>
      <c r="B28" s="119" t="s">
        <v>48</v>
      </c>
      <c r="C28" s="119"/>
      <c r="D28" s="119"/>
      <c r="E28" s="119"/>
      <c r="F28" s="119"/>
      <c r="G28" s="119"/>
      <c r="H28" s="109" t="s">
        <v>6</v>
      </c>
      <c r="I28" s="120" t="s">
        <v>47</v>
      </c>
      <c r="J28" s="120"/>
      <c r="K28" s="120"/>
      <c r="L28" s="121"/>
    </row>
    <row r="29" spans="1:15" ht="24" customHeight="1" x14ac:dyDescent="0.2">
      <c r="A29" s="118">
        <v>4</v>
      </c>
      <c r="B29" s="119" t="s">
        <v>49</v>
      </c>
      <c r="C29" s="119"/>
      <c r="D29" s="119"/>
      <c r="E29" s="119"/>
      <c r="F29" s="119"/>
      <c r="G29" s="119"/>
      <c r="H29" s="109" t="s">
        <v>6</v>
      </c>
      <c r="I29" s="120" t="s">
        <v>47</v>
      </c>
      <c r="J29" s="120"/>
      <c r="K29" s="120"/>
      <c r="L29" s="121"/>
    </row>
    <row r="30" spans="1:15" ht="36.75" customHeight="1" x14ac:dyDescent="0.2">
      <c r="A30" s="118">
        <v>5</v>
      </c>
      <c r="B30" s="119" t="s">
        <v>50</v>
      </c>
      <c r="C30" s="119"/>
      <c r="D30" s="119"/>
      <c r="E30" s="119"/>
      <c r="F30" s="119"/>
      <c r="G30" s="119"/>
      <c r="H30" s="109" t="s">
        <v>6</v>
      </c>
      <c r="I30" s="120" t="s">
        <v>47</v>
      </c>
      <c r="J30" s="120"/>
      <c r="K30" s="120"/>
      <c r="L30" s="121"/>
    </row>
    <row r="31" spans="1:15" ht="23.25" customHeight="1" x14ac:dyDescent="0.2">
      <c r="A31" s="118">
        <v>6</v>
      </c>
      <c r="B31" s="119" t="s">
        <v>51</v>
      </c>
      <c r="C31" s="119"/>
      <c r="D31" s="119"/>
      <c r="E31" s="119"/>
      <c r="F31" s="119"/>
      <c r="G31" s="119"/>
      <c r="H31" s="109" t="s">
        <v>28</v>
      </c>
      <c r="I31" s="120"/>
      <c r="J31" s="120"/>
      <c r="K31" s="120"/>
      <c r="L31" s="121"/>
    </row>
    <row r="32" spans="1:15" ht="23.25" customHeight="1" x14ac:dyDescent="0.2">
      <c r="A32" s="118" t="s">
        <v>52</v>
      </c>
      <c r="B32" s="122" t="s">
        <v>53</v>
      </c>
      <c r="C32" s="119"/>
      <c r="D32" s="119"/>
      <c r="E32" s="119"/>
      <c r="F32" s="119"/>
      <c r="G32" s="123"/>
      <c r="H32" s="109" t="s">
        <v>28</v>
      </c>
      <c r="I32" s="120"/>
      <c r="J32" s="120"/>
      <c r="K32" s="120"/>
      <c r="L32" s="121"/>
    </row>
    <row r="33" spans="1:12" ht="21" customHeight="1" x14ac:dyDescent="0.2">
      <c r="A33" s="118">
        <v>7</v>
      </c>
      <c r="B33" s="119" t="s">
        <v>54</v>
      </c>
      <c r="C33" s="119"/>
      <c r="D33" s="119"/>
      <c r="E33" s="119"/>
      <c r="F33" s="119"/>
      <c r="G33" s="119"/>
      <c r="H33" s="109" t="s">
        <v>28</v>
      </c>
      <c r="I33" s="120"/>
      <c r="J33" s="120"/>
      <c r="K33" s="120"/>
      <c r="L33" s="121"/>
    </row>
    <row r="34" spans="1:12" ht="23.25" customHeight="1" x14ac:dyDescent="0.2">
      <c r="A34" s="118">
        <v>8</v>
      </c>
      <c r="B34" s="119" t="s">
        <v>55</v>
      </c>
      <c r="C34" s="119"/>
      <c r="D34" s="119"/>
      <c r="E34" s="119"/>
      <c r="F34" s="119"/>
      <c r="G34" s="119"/>
      <c r="H34" s="109" t="s">
        <v>28</v>
      </c>
      <c r="I34" s="120"/>
      <c r="J34" s="120"/>
      <c r="K34" s="120"/>
      <c r="L34" s="121"/>
    </row>
    <row r="35" spans="1:12" ht="22.5" customHeight="1" x14ac:dyDescent="0.2">
      <c r="A35" s="118">
        <v>9</v>
      </c>
      <c r="B35" s="119" t="s">
        <v>56</v>
      </c>
      <c r="C35" s="119"/>
      <c r="D35" s="119"/>
      <c r="E35" s="119"/>
      <c r="F35" s="119"/>
      <c r="G35" s="119"/>
      <c r="H35" s="109" t="s">
        <v>28</v>
      </c>
      <c r="I35" s="120"/>
      <c r="J35" s="120"/>
      <c r="K35" s="120"/>
      <c r="L35" s="121"/>
    </row>
    <row r="36" spans="1:12" ht="22.5" customHeight="1" x14ac:dyDescent="0.2">
      <c r="A36" s="118">
        <v>10</v>
      </c>
      <c r="B36" s="119" t="s">
        <v>57</v>
      </c>
      <c r="C36" s="119"/>
      <c r="D36" s="119"/>
      <c r="E36" s="119"/>
      <c r="F36" s="119"/>
      <c r="G36" s="119"/>
      <c r="H36" s="109" t="s">
        <v>28</v>
      </c>
      <c r="I36" s="120"/>
      <c r="J36" s="120"/>
      <c r="K36" s="120"/>
      <c r="L36" s="121"/>
    </row>
    <row r="37" spans="1:12" ht="22.5" customHeight="1" x14ac:dyDescent="0.2">
      <c r="A37" s="118">
        <v>11</v>
      </c>
      <c r="B37" s="119" t="s">
        <v>58</v>
      </c>
      <c r="C37" s="119"/>
      <c r="D37" s="119"/>
      <c r="E37" s="119"/>
      <c r="F37" s="119"/>
      <c r="G37" s="119"/>
      <c r="H37" s="109" t="s">
        <v>28</v>
      </c>
      <c r="I37" s="120"/>
      <c r="J37" s="120"/>
      <c r="K37" s="120"/>
      <c r="L37" s="121"/>
    </row>
    <row r="38" spans="1:12" ht="22.5" customHeight="1" x14ac:dyDescent="0.2">
      <c r="A38" s="118">
        <v>12</v>
      </c>
      <c r="B38" s="119" t="s">
        <v>59</v>
      </c>
      <c r="C38" s="119"/>
      <c r="D38" s="119"/>
      <c r="E38" s="119"/>
      <c r="F38" s="119"/>
      <c r="G38" s="119"/>
      <c r="H38" s="109" t="s">
        <v>28</v>
      </c>
      <c r="I38" s="120"/>
      <c r="J38" s="120"/>
      <c r="K38" s="120"/>
      <c r="L38" s="121"/>
    </row>
    <row r="39" spans="1:12" ht="20.25" customHeight="1" x14ac:dyDescent="0.2">
      <c r="A39" s="118">
        <v>13</v>
      </c>
      <c r="B39" s="119" t="s">
        <v>60</v>
      </c>
      <c r="C39" s="119"/>
      <c r="D39" s="119"/>
      <c r="E39" s="119"/>
      <c r="F39" s="119"/>
      <c r="G39" s="119"/>
      <c r="H39" s="109" t="s">
        <v>28</v>
      </c>
      <c r="I39" s="120"/>
      <c r="J39" s="120"/>
      <c r="K39" s="120"/>
      <c r="L39" s="121"/>
    </row>
  </sheetData>
  <mergeCells count="72">
    <mergeCell ref="B39:G39"/>
    <mergeCell ref="I39:L39"/>
    <mergeCell ref="B36:G36"/>
    <mergeCell ref="I36:L36"/>
    <mergeCell ref="B37:G37"/>
    <mergeCell ref="I37:L37"/>
    <mergeCell ref="B38:G38"/>
    <mergeCell ref="I38:L38"/>
    <mergeCell ref="B33:G33"/>
    <mergeCell ref="I33:L33"/>
    <mergeCell ref="B34:G34"/>
    <mergeCell ref="I34:L34"/>
    <mergeCell ref="B35:G35"/>
    <mergeCell ref="I35:L35"/>
    <mergeCell ref="B30:G30"/>
    <mergeCell ref="I30:L30"/>
    <mergeCell ref="B31:G31"/>
    <mergeCell ref="I31:L31"/>
    <mergeCell ref="B32:G32"/>
    <mergeCell ref="I32:L32"/>
    <mergeCell ref="B27:G27"/>
    <mergeCell ref="I27:L27"/>
    <mergeCell ref="B28:G28"/>
    <mergeCell ref="I28:L28"/>
    <mergeCell ref="B29:G29"/>
    <mergeCell ref="I29:L29"/>
    <mergeCell ref="B24:G24"/>
    <mergeCell ref="I24:L24"/>
    <mergeCell ref="B25:G25"/>
    <mergeCell ref="I25:L25"/>
    <mergeCell ref="B26:G26"/>
    <mergeCell ref="I26:L26"/>
    <mergeCell ref="I19:L19"/>
    <mergeCell ref="A20:A26"/>
    <mergeCell ref="B20:G20"/>
    <mergeCell ref="I20:L20"/>
    <mergeCell ref="B21:G21"/>
    <mergeCell ref="I21:L21"/>
    <mergeCell ref="B22:G22"/>
    <mergeCell ref="I22:L22"/>
    <mergeCell ref="B23:G23"/>
    <mergeCell ref="I23:L23"/>
    <mergeCell ref="A15:B15"/>
    <mergeCell ref="H15:I15"/>
    <mergeCell ref="A16:B16"/>
    <mergeCell ref="H16:I16"/>
    <mergeCell ref="H17:I17"/>
    <mergeCell ref="H18:I18"/>
    <mergeCell ref="A10:B10"/>
    <mergeCell ref="C10:D10"/>
    <mergeCell ref="G12:I12"/>
    <mergeCell ref="H13:I13"/>
    <mergeCell ref="A14:B14"/>
    <mergeCell ref="H14:I14"/>
    <mergeCell ref="A8:B8"/>
    <mergeCell ref="C8:D8"/>
    <mergeCell ref="I8:L8"/>
    <mergeCell ref="A9:B9"/>
    <mergeCell ref="C9:D9"/>
    <mergeCell ref="K9:L9"/>
    <mergeCell ref="A6:B6"/>
    <mergeCell ref="C6:D6"/>
    <mergeCell ref="I6:L6"/>
    <mergeCell ref="A7:B7"/>
    <mergeCell ref="C7:D7"/>
    <mergeCell ref="I7:L7"/>
    <mergeCell ref="A2:L2"/>
    <mergeCell ref="A4:D4"/>
    <mergeCell ref="H4:L4"/>
    <mergeCell ref="A5:B5"/>
    <mergeCell ref="C5:D5"/>
    <mergeCell ref="I5:L5"/>
  </mergeCells>
  <conditionalFormatting sqref="I20 I27:I39">
    <cfRule type="cellIs" dxfId="21" priority="20" operator="equal">
      <formula>"R"</formula>
    </cfRule>
    <cfRule type="cellIs" dxfId="20" priority="21" operator="equal">
      <formula>"Y"</formula>
    </cfRule>
    <cfRule type="cellIs" dxfId="19" priority="22" operator="equal">
      <formula>"G"</formula>
    </cfRule>
  </conditionalFormatting>
  <conditionalFormatting sqref="H20:H39">
    <cfRule type="cellIs" dxfId="18" priority="17" operator="equal">
      <formula>"G"</formula>
    </cfRule>
    <cfRule type="cellIs" dxfId="17" priority="18" operator="equal">
      <formula>"Y"</formula>
    </cfRule>
    <cfRule type="cellIs" dxfId="16" priority="19" operator="equal">
      <formula>"R"</formula>
    </cfRule>
  </conditionalFormatting>
  <conditionalFormatting sqref="H27:H33">
    <cfRule type="cellIs" dxfId="15" priority="16" operator="equal">
      <formula>"NA"</formula>
    </cfRule>
  </conditionalFormatting>
  <conditionalFormatting sqref="I21">
    <cfRule type="cellIs" dxfId="14" priority="13" operator="equal">
      <formula>"R"</formula>
    </cfRule>
    <cfRule type="cellIs" dxfId="13" priority="14" operator="equal">
      <formula>"Y"</formula>
    </cfRule>
    <cfRule type="cellIs" dxfId="12" priority="15" operator="equal">
      <formula>"G"</formula>
    </cfRule>
  </conditionalFormatting>
  <conditionalFormatting sqref="I22">
    <cfRule type="cellIs" dxfId="11" priority="10" operator="equal">
      <formula>"R"</formula>
    </cfRule>
    <cfRule type="cellIs" dxfId="10" priority="11" operator="equal">
      <formula>"Y"</formula>
    </cfRule>
    <cfRule type="cellIs" dxfId="9" priority="12" operator="equal">
      <formula>"G"</formula>
    </cfRule>
  </conditionalFormatting>
  <conditionalFormatting sqref="I23">
    <cfRule type="cellIs" dxfId="8" priority="7" operator="equal">
      <formula>"R"</formula>
    </cfRule>
    <cfRule type="cellIs" dxfId="7" priority="8" operator="equal">
      <formula>"Y"</formula>
    </cfRule>
    <cfRule type="cellIs" dxfId="6" priority="9" operator="equal">
      <formula>"G"</formula>
    </cfRule>
  </conditionalFormatting>
  <conditionalFormatting sqref="I24">
    <cfRule type="cellIs" dxfId="5" priority="4" operator="equal">
      <formula>"R"</formula>
    </cfRule>
    <cfRule type="cellIs" dxfId="4" priority="5" operator="equal">
      <formula>"Y"</formula>
    </cfRule>
    <cfRule type="cellIs" dxfId="3" priority="6" operator="equal">
      <formula>"G"</formula>
    </cfRule>
  </conditionalFormatting>
  <conditionalFormatting sqref="I25:I26">
    <cfRule type="cellIs" dxfId="2" priority="1" operator="equal">
      <formula>"R"</formula>
    </cfRule>
    <cfRule type="cellIs" dxfId="1" priority="2" operator="equal">
      <formula>"Y"</formula>
    </cfRule>
    <cfRule type="cellIs" dxfId="0" priority="3" operator="equal">
      <formula>"G"</formula>
    </cfRule>
  </conditionalFormatting>
  <dataValidations count="1">
    <dataValidation type="list" allowBlank="1" showInputMessage="1" showErrorMessage="1" sqref="H21:H39" xr:uid="{AFE9DEC4-BE7F-4D65-A0B0-2E0845EF063B}">
      <formula1>$Z$2:$Z$5</formula1>
    </dataValidation>
  </dataValidations>
  <hyperlinks>
    <hyperlink ref="C8" r:id="rId1" xr:uid="{94D9BA46-5937-4B77-B2E6-212A6F8D4773}"/>
    <hyperlink ref="C9" r:id="rId2" xr:uid="{6C5B3B2C-B13E-4C30-8285-7A28207E52B6}"/>
    <hyperlink ref="C6" r:id="rId3" xr:uid="{7799FD4B-C2B9-4C04-A388-3747C17CC23D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>
    <pageSetUpPr fitToPage="1"/>
  </sheetPr>
  <dimension ref="A1:P22"/>
  <sheetViews>
    <sheetView showGridLines="0" zoomScaleNormal="100" zoomScaleSheetLayoutView="100" zoomScalePageLayoutView="85" workbookViewId="0">
      <selection activeCell="E28" sqref="E28"/>
    </sheetView>
  </sheetViews>
  <sheetFormatPr defaultColWidth="9.140625" defaultRowHeight="14.25" x14ac:dyDescent="0.2"/>
  <cols>
    <col min="1" max="1" width="4.140625" style="9" customWidth="1"/>
    <col min="2" max="2" width="12.85546875" style="9" customWidth="1"/>
    <col min="3" max="3" width="17" style="9" bestFit="1" customWidth="1"/>
    <col min="4" max="4" width="24.85546875" style="9" customWidth="1"/>
    <col min="5" max="5" width="86.85546875" style="9" customWidth="1"/>
    <col min="6" max="6" width="4.140625" style="9" customWidth="1"/>
    <col min="7" max="15" width="9.140625" style="9"/>
    <col min="16" max="16" width="0" style="9" hidden="1" customWidth="1"/>
    <col min="17" max="16384" width="9.140625" style="9"/>
  </cols>
  <sheetData>
    <row r="1" spans="1:16" ht="20.25" x14ac:dyDescent="0.2">
      <c r="A1" s="47" t="e">
        <f>#REF!</f>
        <v>#REF!</v>
      </c>
      <c r="B1" s="48"/>
      <c r="C1" s="48"/>
      <c r="D1" s="48"/>
      <c r="E1" s="48"/>
      <c r="F1" s="49"/>
    </row>
    <row r="2" spans="1:16" ht="6.75" customHeight="1" x14ac:dyDescent="0.3">
      <c r="A2" s="17"/>
      <c r="B2" s="7"/>
      <c r="C2" s="7"/>
      <c r="D2" s="7"/>
      <c r="E2" s="7"/>
      <c r="F2" s="18"/>
      <c r="P2" s="10" t="s">
        <v>5</v>
      </c>
    </row>
    <row r="3" spans="1:16" x14ac:dyDescent="0.2">
      <c r="A3" s="19"/>
      <c r="B3" s="8"/>
      <c r="C3" s="8"/>
      <c r="D3" s="8"/>
      <c r="E3" s="8"/>
      <c r="F3" s="20"/>
    </row>
    <row r="4" spans="1:16" x14ac:dyDescent="0.2">
      <c r="A4" s="19"/>
      <c r="B4" s="8" t="s">
        <v>18</v>
      </c>
      <c r="C4" s="8"/>
      <c r="D4" s="8"/>
      <c r="E4" s="8"/>
      <c r="F4" s="20"/>
    </row>
    <row r="5" spans="1:16" x14ac:dyDescent="0.2">
      <c r="A5" s="19"/>
      <c r="B5" s="8"/>
      <c r="C5" s="8"/>
      <c r="D5" s="8"/>
      <c r="E5" s="8"/>
      <c r="F5" s="20"/>
    </row>
    <row r="6" spans="1:16" x14ac:dyDescent="0.2">
      <c r="A6" s="19"/>
      <c r="B6" s="21" t="s">
        <v>19</v>
      </c>
      <c r="C6" s="8"/>
      <c r="D6" s="8"/>
      <c r="E6" s="8"/>
      <c r="F6" s="20"/>
    </row>
    <row r="7" spans="1:16" x14ac:dyDescent="0.2">
      <c r="A7" s="19"/>
      <c r="B7" s="8"/>
      <c r="C7" s="8"/>
      <c r="D7" s="8"/>
      <c r="E7" s="8"/>
      <c r="F7" s="20"/>
    </row>
    <row r="8" spans="1:16" ht="25.5" x14ac:dyDescent="0.2">
      <c r="A8" s="19"/>
      <c r="B8" s="13" t="s">
        <v>21</v>
      </c>
      <c r="C8" s="13" t="s">
        <v>20</v>
      </c>
      <c r="D8" s="13" t="s">
        <v>13</v>
      </c>
      <c r="E8" s="13" t="s">
        <v>14</v>
      </c>
      <c r="F8" s="20"/>
    </row>
    <row r="9" spans="1:16" x14ac:dyDescent="0.2">
      <c r="A9" s="19"/>
      <c r="B9" s="15">
        <v>1</v>
      </c>
      <c r="C9" s="14" t="s">
        <v>23</v>
      </c>
      <c r="D9" s="11" t="s">
        <v>22</v>
      </c>
      <c r="E9" s="12"/>
      <c r="F9" s="20"/>
    </row>
    <row r="10" spans="1:16" x14ac:dyDescent="0.2">
      <c r="A10" s="19"/>
      <c r="B10" s="15"/>
      <c r="C10" s="14"/>
      <c r="D10" s="11"/>
      <c r="E10" s="12"/>
      <c r="F10" s="20"/>
    </row>
    <row r="11" spans="1:16" x14ac:dyDescent="0.2">
      <c r="A11" s="19"/>
      <c r="B11" s="15"/>
      <c r="C11" s="14"/>
      <c r="D11" s="11"/>
      <c r="E11" s="12"/>
      <c r="F11" s="20"/>
    </row>
    <row r="12" spans="1:16" x14ac:dyDescent="0.2">
      <c r="A12" s="22"/>
      <c r="B12" s="15"/>
      <c r="C12" s="14"/>
      <c r="D12" s="11"/>
      <c r="E12" s="12"/>
      <c r="F12" s="23"/>
    </row>
    <row r="13" spans="1:16" x14ac:dyDescent="0.2">
      <c r="A13" s="22"/>
      <c r="B13" s="15"/>
      <c r="C13" s="14"/>
      <c r="D13" s="11"/>
      <c r="E13" s="12"/>
      <c r="F13" s="23"/>
    </row>
    <row r="14" spans="1:16" x14ac:dyDescent="0.2">
      <c r="A14" s="22"/>
      <c r="B14" s="15"/>
      <c r="C14" s="14"/>
      <c r="D14" s="11"/>
      <c r="E14" s="12"/>
      <c r="F14" s="23"/>
    </row>
    <row r="15" spans="1:16" x14ac:dyDescent="0.2">
      <c r="A15" s="22"/>
      <c r="B15" s="15"/>
      <c r="C15" s="14"/>
      <c r="D15" s="11"/>
      <c r="E15" s="12"/>
      <c r="F15" s="23"/>
    </row>
    <row r="16" spans="1:16" x14ac:dyDescent="0.2">
      <c r="A16" s="22"/>
      <c r="B16" s="15"/>
      <c r="C16" s="14"/>
      <c r="D16" s="11"/>
      <c r="E16" s="12"/>
      <c r="F16" s="23"/>
    </row>
    <row r="17" spans="1:6" x14ac:dyDescent="0.2">
      <c r="A17" s="22"/>
      <c r="B17" s="15"/>
      <c r="C17" s="16"/>
      <c r="D17" s="11"/>
      <c r="E17" s="12"/>
      <c r="F17" s="23"/>
    </row>
    <row r="18" spans="1:6" x14ac:dyDescent="0.2">
      <c r="A18" s="22"/>
      <c r="B18" s="15"/>
      <c r="C18" s="14"/>
      <c r="D18" s="11"/>
      <c r="E18" s="12"/>
      <c r="F18" s="23"/>
    </row>
    <row r="19" spans="1:6" x14ac:dyDescent="0.2">
      <c r="A19" s="22"/>
      <c r="B19" s="15"/>
      <c r="C19" s="14"/>
      <c r="D19" s="11"/>
      <c r="E19" s="12"/>
      <c r="F19" s="23"/>
    </row>
    <row r="20" spans="1:6" x14ac:dyDescent="0.2">
      <c r="A20" s="22"/>
      <c r="B20" s="15"/>
      <c r="C20" s="14"/>
      <c r="D20" s="11"/>
      <c r="E20" s="12"/>
      <c r="F20" s="23"/>
    </row>
    <row r="21" spans="1:6" x14ac:dyDescent="0.2">
      <c r="A21" s="22"/>
      <c r="B21" s="15"/>
      <c r="C21" s="14"/>
      <c r="D21" s="11"/>
      <c r="E21" s="12"/>
      <c r="F21" s="25"/>
    </row>
    <row r="22" spans="1:6" x14ac:dyDescent="0.2">
      <c r="A22" s="24"/>
      <c r="B22" s="15"/>
      <c r="C22" s="14"/>
      <c r="D22" s="11"/>
      <c r="E22" s="12"/>
      <c r="F22" s="26"/>
    </row>
  </sheetData>
  <sheetProtection formatCells="0" formatColumns="0" formatRows="0"/>
  <mergeCells count="1">
    <mergeCell ref="A1:F1"/>
  </mergeCells>
  <pageMargins left="0.5" right="0.5" top="0.96333333300000001" bottom="0.75" header="0.3" footer="0.3"/>
  <pageSetup scale="67" fitToHeight="0" orientation="portrait" r:id="rId1"/>
  <headerFooter>
    <oddHeader>&amp;L&amp;G&amp;R&amp;"Arial,Standard"&amp;10ELECTRONICS
&amp;9SW - Software</oddHeader>
    <oddFooter>&amp;L&amp;"Arial,Normal"&amp;8&amp;KFF0000Release Date: DD-MMM-YYYY&amp;C&amp;"Arial,Normal"&amp;8Visteon Corporation
Proprietary and Confidential&amp;R&amp;"Arial,Normal"&amp;8Page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5fd2735b-57c8-4da3-849f-5601286114b4" xsi:nil="true"/>
    <estimatedy_x002f_n xmlns="5fd2735b-57c8-4da3-849f-5601286114b4">true</estimatedy_x002f_n>
    <TaxCatchAll xmlns="b4c1e79b-46cf-452c-a341-cb9dc26276d8" xsi:nil="true"/>
    <lcf76f155ced4ddcb4097134ff3c332f xmlns="5fd2735b-57c8-4da3-849f-5601286114b4">
      <Terms xmlns="http://schemas.microsoft.com/office/infopath/2007/PartnerControls"/>
    </lcf76f155ced4ddcb4097134ff3c332f>
    <Hyperlinkreference xmlns="5fd2735b-57c8-4da3-849f-5601286114b4">
      <Url xsi:nil="true"/>
      <Description xsi:nil="true"/>
    </Hyperlinkreferenc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0FD01DAA1E85499D2EFF5E3265F0AD" ma:contentTypeVersion="21" ma:contentTypeDescription="Create a new document." ma:contentTypeScope="" ma:versionID="b766aa38573af1ac0040ff89824d370d">
  <xsd:schema xmlns:xsd="http://www.w3.org/2001/XMLSchema" xmlns:xs="http://www.w3.org/2001/XMLSchema" xmlns:p="http://schemas.microsoft.com/office/2006/metadata/properties" xmlns:ns2="5fd2735b-57c8-4da3-849f-5601286114b4" xmlns:ns3="b4c1e79b-46cf-452c-a341-cb9dc26276d8" targetNamespace="http://schemas.microsoft.com/office/2006/metadata/properties" ma:root="true" ma:fieldsID="d3ec401436bd645b8039753db51409b6" ns2:_="" ns3:_="">
    <xsd:import namespace="5fd2735b-57c8-4da3-849f-5601286114b4"/>
    <xsd:import namespace="b4c1e79b-46cf-452c-a341-cb9dc26276d8"/>
    <xsd:element name="properties">
      <xsd:complexType>
        <xsd:sequence>
          <xsd:element name="documentManagement">
            <xsd:complexType>
              <xsd:all>
                <xsd:element ref="ns2:Note" minOccurs="0"/>
                <xsd:element ref="ns2:estimatedy_x002f_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Hyperlinkreferenc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d2735b-57c8-4da3-849f-5601286114b4" elementFormDefault="qualified">
    <xsd:import namespace="http://schemas.microsoft.com/office/2006/documentManagement/types"/>
    <xsd:import namespace="http://schemas.microsoft.com/office/infopath/2007/PartnerControls"/>
    <xsd:element name="Note" ma:index="2" nillable="true" ma:displayName="Note" ma:format="Dropdown" ma:internalName="Note" ma:readOnly="false">
      <xsd:simpleType>
        <xsd:restriction base="dms:Text">
          <xsd:maxLength value="255"/>
        </xsd:restriction>
      </xsd:simpleType>
    </xsd:element>
    <xsd:element name="estimatedy_x002f_n" ma:index="4" nillable="true" ma:displayName="estimated y/n" ma:default="1" ma:format="Dropdown" ma:internalName="estimatedy_x002f_n" ma:readOnly="false">
      <xsd:simpleType>
        <xsd:restriction base="dms:Boolean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hidden="true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6090b7b-812d-4ce9-a8a7-7ecc4de2f6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yperlinkreference" ma:index="26" nillable="true" ma:displayName="Hyperlink reference" ma:format="Hyperlink" ma:hidden="true" ma:internalName="Hyperlinkreferenc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1e79b-46cf-452c-a341-cb9dc26276d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4" nillable="true" ma:displayName="Taxonomy Catch All Column" ma:hidden="true" ma:list="{2e852ef7-7e40-4262-99e5-95d6e6a889ec}" ma:internalName="TaxCatchAll" ma:readOnly="false" ma:showField="CatchAllData" ma:web="b4c1e79b-46cf-452c-a341-cb9dc26276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5D18F6-33BF-418C-B5E0-6ED97A4736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E36C7B-9C82-4282-A1C8-6324C6B17C79}">
  <ds:schemaRefs>
    <ds:schemaRef ds:uri="http://www.w3.org/XML/1998/namespace"/>
    <ds:schemaRef ds:uri="http://purl.org/dc/dcmitype/"/>
    <ds:schemaRef ds:uri="b4c1e79b-46cf-452c-a341-cb9dc26276d8"/>
    <ds:schemaRef ds:uri="http://schemas.microsoft.com/office/2006/metadata/properties"/>
    <ds:schemaRef ds:uri="5fd2735b-57c8-4da3-849f-5601286114b4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B455D136-6CAD-4CCE-8E4D-2882E04947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d2735b-57c8-4da3-849f-5601286114b4"/>
    <ds:schemaRef ds:uri="b4c1e79b-46cf-452c-a341-cb9dc26276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&lt;Instructions_Generic format&gt;</vt:lpstr>
      <vt:lpstr>Review</vt:lpstr>
      <vt:lpstr>Template Version History </vt:lpstr>
      <vt:lpstr>'Template Version History '!Print_Area</vt:lpstr>
    </vt:vector>
  </TitlesOfParts>
  <Company>Visteon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Vistway MS Excel template</dc:title>
  <dc:creator>EQA</dc:creator>
  <dc:description>basic MS Excel format to help create documents for Vistway</dc:description>
  <cp:lastModifiedBy>Horri, Aymen (A.)</cp:lastModifiedBy>
  <cp:lastPrinted>2012-04-24T19:11:51Z</cp:lastPrinted>
  <dcterms:created xsi:type="dcterms:W3CDTF">2010-10-25T12:19:43Z</dcterms:created>
  <dcterms:modified xsi:type="dcterms:W3CDTF">2025-04-08T11:18:02Z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0x0101001E0FD01DAA1E85499D2EFF5E3265F0AD</vt:lpwstr>
  </property>
</Properties>
</file>
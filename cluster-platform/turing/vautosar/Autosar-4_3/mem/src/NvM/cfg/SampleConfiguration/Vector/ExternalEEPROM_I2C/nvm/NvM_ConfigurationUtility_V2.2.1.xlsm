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turing.bsw.nvmmgr\NvM\cfg\SampleConfiguration\ExternalEEPROM_I2C\nvm\"/>
    </mc:Choice>
  </mc:AlternateContent>
  <bookViews>
    <workbookView xWindow="-120" yWindow="-120" windowWidth="20730" windowHeight="11160" activeTab="5"/>
  </bookViews>
  <sheets>
    <sheet name="Generate Sheet" sheetId="10" r:id="rId1"/>
    <sheet name="PortInterface" sheetId="13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ExternalEEPROMConfig" sheetId="7" r:id="rId8"/>
    <sheet name="NvMExt" sheetId="8" r:id="rId9"/>
    <sheet name="UserDefined_DataTypes" sheetId="14" r:id="rId10"/>
    <sheet name="SharedNvMConfig" sheetId="15" r:id="rId11"/>
  </sheets>
  <functionGroups builtInGroupCount="18"/>
  <definedNames>
    <definedName name="_xlnm._FilterDatabase" localSheetId="3" hidden="1">MappingDataToBlock!$B$8:$H$194</definedName>
    <definedName name="_xlnm._FilterDatabase" localSheetId="5" hidden="1">NvMConfig!$A$6:$S$129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16" i="1"/>
  <c r="H3" i="2" l="1"/>
</calcChain>
</file>

<file path=xl/sharedStrings.xml><?xml version="1.0" encoding="utf-8"?>
<sst xmlns="http://schemas.openxmlformats.org/spreadsheetml/2006/main" count="1857" uniqueCount="781">
  <si>
    <t>BlockDescription</t>
  </si>
  <si>
    <t>Memory Stack common configuration:</t>
  </si>
  <si>
    <t>FeeInternalBufferSize</t>
  </si>
  <si>
    <t>NvBlock Number</t>
  </si>
  <si>
    <t>NVM_API_CONFIG_CLASS_3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</si>
  <si>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</si>
  <si>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</si>
  <si>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</si>
  <si>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</si>
  <si>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</si>
  <si>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</si>
  <si>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</si>
  <si>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</si>
  <si>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</si>
  <si>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</si>
  <si>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</si>
  <si>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</si>
  <si>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</si>
  <si>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</si>
  <si>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</si>
  <si>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</si>
  <si>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</si>
  <si>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</si>
  <si>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</si>
  <si>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</si>
  <si>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</si>
  <si>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</si>
  <si>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CALIB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</si>
  <si>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</si>
  <si>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</si>
  <si>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</si>
  <si>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</si>
  <si>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</si>
  <si>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</si>
  <si>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</si>
  <si>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</si>
  <si>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</si>
  <si>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</si>
  <si>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</si>
  <si>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</si>
  <si>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</si>
  <si>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</si>
  <si>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</si>
  <si>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</si>
  <si>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</si>
  <si>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</si>
  <si>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</si>
  <si>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</si>
  <si>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</si>
  <si>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</si>
  <si>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</si>
  <si>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</si>
  <si>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</si>
  <si>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</si>
  <si>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</si>
  <si>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</si>
  <si>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</si>
  <si>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</si>
  <si>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</si>
  <si>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Sector Size(Bytes)</t>
  </si>
  <si>
    <t>Page Size</t>
  </si>
  <si>
    <t>Partition No</t>
  </si>
  <si>
    <t>Start Address</t>
  </si>
  <si>
    <t>Number Of Sectors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</si>
  <si>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</si>
  <si>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</si>
  <si>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</si>
  <si>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</si>
  <si>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</si>
  <si>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</si>
  <si>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</si>
  <si>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</si>
  <si>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</si>
  <si>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</si>
  <si>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</si>
  <si>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</si>
  <si>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</si>
  <si>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</si>
  <si>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</si>
  <si>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</si>
  <si>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</si>
  <si>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</si>
  <si>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</si>
  <si>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</si>
  <si>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</si>
  <si>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</si>
  <si>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</si>
  <si>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Phase1ReadCompletionNotification</t>
  </si>
  <si>
    <t>Phase2ReadCompletionNotification</t>
  </si>
  <si>
    <t>Phase3ReadCompletionNotification</t>
  </si>
  <si>
    <t>uint16</t>
  </si>
  <si>
    <t>uint32</t>
  </si>
  <si>
    <t>NvMExt_MultipleJobEndNotification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</si>
  <si>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</si>
  <si>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</si>
  <si>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</si>
  <si>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</si>
  <si>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</si>
  <si>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</si>
  <si>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</si>
  <si>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</si>
  <si>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</si>
  <si>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</si>
  <si>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</si>
  <si>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</si>
  <si>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</si>
  <si>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</si>
  <si>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</si>
  <si>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</si>
  <si>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</si>
  <si>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</si>
  <si>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</si>
  <si>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</si>
  <si>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</si>
  <si>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</si>
  <si>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</si>
  <si>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</si>
  <si>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</si>
  <si>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</si>
  <si>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</si>
  <si>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</si>
  <si>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</si>
  <si>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</si>
  <si>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</si>
  <si>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</si>
  <si>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</si>
  <si>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</si>
  <si>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</si>
  <si>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</si>
  <si>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</si>
  <si>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</si>
  <si>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</si>
  <si>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</si>
  <si>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</si>
  <si>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</si>
  <si>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</si>
  <si>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</si>
  <si>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</si>
  <si>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</si>
  <si>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</si>
  <si>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</si>
  <si>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</si>
  <si>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</si>
  <si>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</si>
  <si>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</si>
  <si>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</si>
  <si>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</si>
  <si>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</si>
  <si>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</si>
  <si>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</si>
  <si>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</si>
  <si>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</si>
  <si>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</si>
  <si>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</si>
  <si>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</si>
  <si>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</si>
  <si>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</si>
  <si>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</si>
  <si>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</si>
  <si>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</si>
  <si>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</si>
  <si>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</si>
  <si>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</si>
  <si>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</si>
  <si>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</si>
  <si>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</si>
  <si>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</si>
  <si>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</si>
  <si>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</si>
  <si>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</si>
  <si>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</si>
  <si>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</si>
  <si>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</si>
  <si>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</si>
  <si>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</si>
  <si>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</si>
  <si>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</si>
  <si>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</si>
  <si>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</si>
  <si>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</si>
  <si>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</si>
  <si>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</si>
  <si>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</si>
  <si>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</si>
  <si>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</si>
  <si>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</si>
  <si>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</si>
  <si>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</si>
  <si>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</si>
  <si>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</si>
  <si>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</si>
  <si>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</si>
  <si>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</si>
  <si>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</si>
  <si>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</si>
  <si>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</si>
  <si>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</si>
  <si>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</si>
  <si>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</si>
  <si>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</si>
  <si>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</si>
  <si>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</si>
  <si>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</si>
  <si>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</si>
  <si>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</si>
  <si>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</si>
  <si>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</si>
  <si>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</si>
  <si>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</si>
  <si>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</si>
  <si>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</si>
  <si>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</si>
  <si>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</si>
  <si>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</si>
  <si>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</si>
  <si>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</si>
  <si>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</si>
  <si>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</si>
  <si>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</si>
  <si>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</si>
  <si>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</si>
  <si>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</si>
  <si>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</si>
  <si>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</si>
  <si>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</si>
  <si>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</si>
  <si>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</si>
  <si>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</si>
  <si>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</si>
  <si>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</si>
  <si>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</si>
  <si>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</si>
  <si>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</si>
  <si>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</si>
  <si>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</si>
  <si>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</si>
  <si>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</si>
  <si>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</si>
  <si>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</si>
  <si>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</si>
  <si>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</si>
  <si>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</si>
  <si>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</si>
  <si>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</si>
  <si>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</si>
  <si>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</si>
  <si>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</si>
  <si>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</si>
  <si>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</si>
  <si>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</si>
  <si>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</si>
  <si>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</si>
  <si>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</si>
  <si>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</si>
  <si>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</si>
  <si>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</si>
  <si>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</si>
  <si>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</si>
  <si>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</si>
  <si>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</si>
  <si>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</si>
  <si>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</si>
  <si>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</si>
  <si>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</si>
  <si>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</si>
  <si>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</si>
  <si>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</si>
  <si>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</si>
  <si>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</si>
  <si>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</si>
  <si>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</si>
  <si>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</si>
  <si>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</si>
  <si>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</si>
  <si>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</si>
  <si>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</si>
  <si>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</si>
  <si>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</si>
  <si>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</si>
  <si>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</si>
  <si>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</si>
  <si>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</si>
  <si>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</si>
  <si>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</si>
  <si>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</si>
  <si>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</si>
  <si>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</si>
  <si>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</si>
  <si>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</si>
  <si>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</si>
  <si>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</si>
  <si>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</si>
  <si>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</si>
  <si>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</si>
  <si>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</si>
  <si>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</si>
  <si>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</si>
  <si>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</si>
  <si>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</si>
  <si>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</si>
  <si>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</si>
  <si>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</si>
  <si>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</si>
  <si>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</si>
  <si>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</si>
  <si>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</si>
  <si>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</si>
  <si>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</si>
  <si>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</si>
  <si>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</si>
  <si>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</si>
  <si>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</si>
  <si>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</si>
  <si>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</si>
  <si>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</si>
  <si>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</si>
  <si>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</si>
  <si>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</si>
  <si>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</si>
  <si>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</si>
  <si>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</si>
  <si>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</si>
  <si>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</si>
  <si>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</si>
  <si>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</si>
  <si>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</si>
  <si>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</si>
  <si>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</si>
  <si>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</si>
  <si>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</si>
  <si>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</si>
  <si>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</si>
  <si>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</si>
  <si>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</si>
  <si>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</si>
  <si>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</si>
  <si>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</si>
  <si>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</si>
  <si>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</si>
  <si>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</si>
  <si>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</si>
  <si>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</si>
  <si>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</si>
  <si>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</si>
  <si>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</si>
  <si>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</si>
  <si>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</si>
  <si>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</si>
  <si>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</si>
  <si>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</si>
  <si>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</si>
  <si>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</si>
  <si>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</si>
  <si>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</si>
  <si>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</si>
  <si>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</si>
  <si>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</si>
  <si>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</si>
  <si>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</si>
  <si>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</si>
  <si>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</si>
  <si>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</si>
  <si>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</si>
  <si>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</si>
  <si>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</si>
  <si>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</si>
  <si>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</si>
  <si>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</si>
  <si>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</si>
  <si>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</si>
  <si>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</si>
  <si>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</si>
  <si>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</si>
  <si>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</si>
  <si>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</si>
  <si>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</si>
  <si>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</si>
  <si>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</si>
  <si>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</si>
  <si>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</si>
  <si>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</si>
  <si>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</si>
  <si>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</si>
  <si>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</si>
  <si>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</si>
  <si>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</si>
  <si>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</si>
  <si>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</si>
  <si>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</si>
  <si>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</si>
  <si>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</si>
  <si>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</si>
  <si>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</si>
  <si>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</si>
  <si>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</si>
  <si>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</si>
  <si>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</si>
  <si>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</si>
  <si>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</si>
  <si>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</si>
  <si>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</si>
  <si>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</si>
  <si>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</si>
  <si>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</si>
  <si>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</si>
  <si>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</si>
  <si>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</si>
  <si>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</si>
  <si>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</si>
  <si>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</si>
  <si>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</si>
  <si>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</si>
  <si>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</si>
  <si>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</si>
  <si>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</si>
  <si>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</si>
  <si>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</si>
  <si>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</si>
  <si>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</si>
  <si>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</si>
  <si>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</si>
  <si>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</si>
  <si>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</si>
  <si>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</si>
  <si>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</si>
  <si>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</si>
  <si>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</si>
  <si>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</si>
  <si>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</si>
  <si>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</si>
  <si>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</si>
  <si>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</si>
  <si>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</si>
  <si>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</si>
  <si>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</si>
  <si>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</si>
  <si>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</si>
  <si>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</si>
  <si>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</si>
  <si>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</si>
  <si>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</si>
  <si>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</si>
  <si>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</si>
  <si>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</si>
  <si>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</si>
  <si>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</si>
  <si>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</si>
  <si>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</si>
  <si>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</si>
  <si>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</si>
  <si>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</si>
  <si>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</si>
  <si>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</si>
  <si>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</si>
  <si>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</si>
  <si>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</si>
  <si>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</si>
  <si>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</si>
  <si>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</si>
  <si>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</si>
  <si>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</si>
  <si>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</si>
  <si>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</si>
  <si>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</si>
  <si>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</si>
  <si>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</si>
  <si>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</si>
  <si>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</si>
  <si>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</si>
  <si>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</si>
  <si>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</si>
  <si>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NVM_BLOCK_REDUNDANT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</si>
  <si>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</si>
  <si>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</si>
  <si>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</si>
  <si>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</si>
  <si>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</si>
  <si>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</si>
  <si>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</si>
  <si>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</si>
  <si>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</si>
  <si>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</si>
  <si>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</si>
  <si>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</si>
  <si>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</si>
  <si>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</si>
  <si>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</si>
  <si>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</si>
  <si>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</si>
  <si>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</si>
  <si>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</si>
  <si>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</si>
  <si>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</si>
  <si>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</si>
  <si>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</si>
  <si>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</si>
  <si>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</si>
  <si>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</si>
  <si>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</si>
  <si>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</si>
  <si>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</si>
  <si>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</si>
  <si>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</si>
  <si>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</si>
  <si>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</si>
  <si>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</si>
  <si>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</si>
  <si>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</si>
  <si>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</si>
  <si>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</si>
  <si>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NVM_REDUNDANT_BLOCK</t>
  </si>
  <si>
    <t>Rte_Read_rp_SR_MeetMode_MeetModeStatus</t>
  </si>
  <si>
    <t>if_SR_MeetMode_ModeStatus</t>
  </si>
  <si>
    <t>{0,0,0,0}</t>
  </si>
  <si>
    <t>Init values / Variant Info</t>
  </si>
  <si>
    <t>&lt;program name/variant2&gt;</t>
  </si>
  <si>
    <t>NVM_CRC16</t>
  </si>
  <si>
    <t>CRC_16</t>
  </si>
  <si>
    <t>Typedef</t>
  </si>
  <si>
    <t>NA</t>
  </si>
  <si>
    <t>SNvM_BlockConfig</t>
  </si>
  <si>
    <t>SNvM ID MAX</t>
  </si>
  <si>
    <t>Fls_EepDrv</t>
  </si>
  <si>
    <t>Base Address</t>
  </si>
  <si>
    <t>Sector Index</t>
  </si>
  <si>
    <t>Length</t>
  </si>
  <si>
    <t>FLS_drive</t>
  </si>
  <si>
    <t>0x0000F800</t>
  </si>
  <si>
    <t>0x00</t>
  </si>
  <si>
    <t>Sector Offset</t>
  </si>
  <si>
    <t>0x00000000</t>
  </si>
  <si>
    <t>0x00000100</t>
  </si>
  <si>
    <t>0x00000200</t>
  </si>
  <si>
    <t>SNvM_Fls_Eep_fun</t>
  </si>
  <si>
    <t>No_Of_Drives</t>
  </si>
  <si>
    <t>Job Result Type</t>
  </si>
  <si>
    <t>Sector Erase Return Type</t>
  </si>
  <si>
    <t>SNvM Write Returm Type</t>
  </si>
  <si>
    <t>SNvM Read Return Type</t>
  </si>
  <si>
    <t>NULL</t>
  </si>
  <si>
    <t>Eep24xx_GetJobResult</t>
  </si>
  <si>
    <t>Eep24xx_Write</t>
  </si>
  <si>
    <t>Eep24xx_Read</t>
  </si>
  <si>
    <t>Fls_Erase</t>
  </si>
  <si>
    <t>Fls_GetJobResult</t>
  </si>
  <si>
    <t>Fls_Write</t>
  </si>
  <si>
    <t>Fls_Read</t>
  </si>
  <si>
    <t>Name</t>
  </si>
  <si>
    <t>Eep24xx</t>
  </si>
  <si>
    <t>Fls</t>
  </si>
  <si>
    <t>SNvM</t>
  </si>
  <si>
    <t>create_BodyFor_SNvMh</t>
  </si>
  <si>
    <t>create_BodyFor_SNvMc</t>
  </si>
  <si>
    <t>Arr_u8_15</t>
  </si>
  <si>
    <t>{1,1,1,1,1,1,1,1,1,1,1,1,1,1,1}</t>
  </si>
  <si>
    <t>Arr_u8_4</t>
  </si>
  <si>
    <t>Arr_u8_244</t>
  </si>
  <si>
    <t>{0,64,128,192,0,64,128,192,0,64,128,192,0,64,128,192,255,0,85,170,255,3,0,0,0,0,0,0,64,128,192,0,64,128,192,0,64,128,192,0,64,128,192,255,0,85,170,255,3,0,0,0,0,0,0,64,128,192,0,64,128,192,0,64,128,192,0,64,128,192,255,0,85,170,255,3,0,0,0,0,0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63,255,255,255,255,255,255,255,255,255,255,255,255,255,255,255,255,255,175,216}</t>
  </si>
  <si>
    <t>Sample_Program_var1</t>
  </si>
  <si>
    <t>Sample_Block_1</t>
  </si>
  <si>
    <t>Sample_Element_1</t>
  </si>
  <si>
    <t>Sample_Element_2</t>
  </si>
  <si>
    <t>Sample_Block_2</t>
  </si>
  <si>
    <t>Sample_Element_3</t>
  </si>
  <si>
    <t>Arr_u32_29</t>
  </si>
  <si>
    <t>{0,0,0,0,0,0,0,0,0,0,0,0,0,0,0,0,0,0,0,0,0,0,0,0,0,0,0,0,0}</t>
  </si>
  <si>
    <t>Sample_Element_4</t>
  </si>
  <si>
    <t>Arr_u8_5</t>
  </si>
  <si>
    <t>{1,1,1,1,1}</t>
  </si>
  <si>
    <t>Sample_Element_5</t>
  </si>
  <si>
    <t>Arr_u8_10</t>
  </si>
  <si>
    <t>{0,0,0,0,0,0,0,0,0,0}</t>
  </si>
  <si>
    <t>Sample_Element_6</t>
  </si>
  <si>
    <t>Arr_u16_24</t>
  </si>
  <si>
    <t>{0,64,768,1536,3072,6656,17920,32512,47360,61952,63488,64256,65408,65408,65408,0,0,0,0,0,0,0,0,0}</t>
  </si>
  <si>
    <t>Sample_Element_7</t>
  </si>
  <si>
    <t>Arr_u16_2</t>
  </si>
  <si>
    <t>{1000,1000}</t>
  </si>
  <si>
    <t>Sample_Element_8</t>
  </si>
  <si>
    <t>Arr_u32_4</t>
  </si>
  <si>
    <t>Sample_Element_9</t>
  </si>
  <si>
    <t>Sample_Block_3</t>
  </si>
  <si>
    <t>Sample_Element_10</t>
  </si>
  <si>
    <t>Sample_Element_11</t>
  </si>
  <si>
    <t>{3,3,3,3,3}</t>
  </si>
  <si>
    <t>Sample_Element_12</t>
  </si>
  <si>
    <t>Arr_u32_5</t>
  </si>
  <si>
    <t>{0,0,0,0,0}</t>
  </si>
  <si>
    <t>Sample_Block_4</t>
  </si>
  <si>
    <t>Sample_Element_13</t>
  </si>
  <si>
    <t>Arr_u8_5x18</t>
  </si>
  <si>
    <t>{{0,0,0,0,0,0},{0,0,0,0,0,0},{0,0,0,0,0,0},{0,0,0,0,0,0},{0,0,0,0,0,0},{0,0,0,0,0,0},{0,0,0,0,0,0},{0,0,0,0,0,0},{0,0,0,0,0,0},{0,0,0,0,0,0},{0,0,0,0,0,0},{0,0,0,0,0,0},{0,0,0,0,0,0},{0,0,0,0,0,0},{0,0,0,0,0,0},{0,0,0,0,0,0},{0,0,0,0,0,0},{0,0,0,0,0,0}}</t>
  </si>
  <si>
    <t>Sample_Block_5</t>
  </si>
  <si>
    <t>Sample_Element_14</t>
  </si>
  <si>
    <t>Arr_u16_6x18</t>
  </si>
  <si>
    <t>Arr_u16_6</t>
  </si>
  <si>
    <t>{{0,3,6,10,17,366},{3,5,10,15,23,366},{5,9,14,21,31,366},{10,14,21,30,42,366},{15,21,30,41,56,366},{23,31,42,56,74,366},{34,45,58,75,97,366},{49,63,80,101,127,366},{71,88,109,134,166,366},{101,122,148,179,216,366},{143,169,201,237,281,366},{201,234,271,315,366,366},{366,391,418,446,477,510},{418,447,479,512,548,586},{446,485,527,572,621,674},{477,526,580,639,704,775},{490,555,630,714,809,917},{510,586,674,775,891,1024}}</t>
  </si>
  <si>
    <t>Sample_Block_6</t>
  </si>
  <si>
    <t>Sample_Element_15</t>
  </si>
  <si>
    <t>Sample_Block_7</t>
  </si>
  <si>
    <t>Sample_Element_16</t>
  </si>
  <si>
    <t>Arr_u8_10x3</t>
  </si>
  <si>
    <t>{{0,0,0,0,0,0,0,0,0,0},{0,0,0,0,0,0,0,0,0,0},{0,0,0,0,0,0,0,0,0,0}}</t>
  </si>
  <si>
    <t>Sample_Block_8</t>
  </si>
  <si>
    <t>Sample_Element_17</t>
  </si>
  <si>
    <t>Struct_a</t>
  </si>
  <si>
    <t>{0,0,{0,0,0,0},0}</t>
  </si>
  <si>
    <t>Sample_Block_9</t>
  </si>
  <si>
    <t>Sample_Element_18</t>
  </si>
  <si>
    <t>Sample_Block_10</t>
  </si>
  <si>
    <t>Sample_Element_19</t>
  </si>
  <si>
    <t>Sample_Element_20</t>
  </si>
  <si>
    <t>Sample_Element_21</t>
  </si>
  <si>
    <t>Sample_Element_22</t>
  </si>
  <si>
    <t>Sample_Element_23</t>
  </si>
  <si>
    <t>Sample_Element_24</t>
  </si>
  <si>
    <t>{768,768,896,896,1280,2739,3993,6720,9433,12160,12544,12544,12544,12544,12544,0,0,0,0,0,0,0,0,0}</t>
  </si>
  <si>
    <t>Sample_Element_25</t>
  </si>
  <si>
    <t>{{0,19,43,75,119,335},{7,27,53,87,132,335},{16,37,64,100,147,335},{25,48,77,114,162,335},{36,60,90,129,178,335},{48,74,105,145,196,335},{61,89,122,164,215,335},{77,106,140,183,235,335},{94,124,161,204,257,335},{114,146,183,228,281,335},{136,169,208,254,307,335},{162,196,236,281,335,335},{335,361,389,419,451,486},{389,420,453,488,525,566},{419,459,503,551,602,658},{451,502,558,620,688,763},{464,533,611,699,799,911},{486,566,658,763,885,1024}}</t>
  </si>
  <si>
    <t>Sample_Element_26</t>
  </si>
  <si>
    <t>Sample_Element_28</t>
  </si>
  <si>
    <t>Sample_Element_29</t>
  </si>
  <si>
    <t>Sample_Block_11</t>
  </si>
  <si>
    <t>Sample_Element_30</t>
  </si>
  <si>
    <t>{6,6,6,6,6}</t>
  </si>
  <si>
    <t>Sample_Element_31</t>
  </si>
  <si>
    <t>Sample_Block_12</t>
  </si>
  <si>
    <t>Sample_Element_32</t>
  </si>
  <si>
    <t>Sample_Element_33</t>
  </si>
  <si>
    <t>Sample_Element_34</t>
  </si>
  <si>
    <t>Sample_Block_14</t>
  </si>
  <si>
    <t>Sample_Element_36</t>
  </si>
  <si>
    <t>Struct_b</t>
  </si>
  <si>
    <t>{0,0,0,0,0,0,0,0,0,0,{0,0},{0,0},{0,0,0,0}}</t>
  </si>
  <si>
    <t>Sample_Element_37</t>
  </si>
  <si>
    <t>Sample_Element_38</t>
  </si>
  <si>
    <t>Sample_Element_39</t>
  </si>
  <si>
    <t>Sample_Element_40</t>
  </si>
  <si>
    <t>Sample_Element_41</t>
  </si>
  <si>
    <t>Sample_Element_42</t>
  </si>
  <si>
    <t>Sample_Element_43</t>
  </si>
  <si>
    <t>Sample_Element_44</t>
  </si>
  <si>
    <t>Sample_Element_45</t>
  </si>
  <si>
    <t>Sample_Element_46</t>
  </si>
  <si>
    <t>Sample_Element_47</t>
  </si>
  <si>
    <t>Sample_Element_48</t>
  </si>
  <si>
    <t>NVM_CRC8</t>
  </si>
  <si>
    <t>CRC_8</t>
  </si>
  <si>
    <t>NVM_CRC32</t>
  </si>
  <si>
    <t>CRC_32</t>
  </si>
  <si>
    <t>NvMBlockDescriptor_NvBlockSwComponentTypeNVBlockDescriptor_Sample_Block_1</t>
  </si>
  <si>
    <t>NV_Data_Sample_Block_1</t>
  </si>
  <si>
    <t>Rte_NvBlockSwComponentType_NVBlockDescriptor_Sample_Block_1</t>
  </si>
  <si>
    <t>Rte_NvBlockSwComponentType_NVBlockDescriptor_Sample_Block_1_ROM_NVBlockDescriptor_Sample_Block_1</t>
  </si>
  <si>
    <t>Rte_Call_NvM_NvM_RpNotifyJobEnd_NvBlockSwComponentTypeNVBlockDescriptor_Sample_Block_1_JobFinished</t>
  </si>
  <si>
    <t>NvMBlockDescriptor_NvBlockSwComponentTypeNVBlockDescriptor_Sample_Block_2</t>
  </si>
  <si>
    <t>NV_Data_Sample_Block_2</t>
  </si>
  <si>
    <t>Rte_NvBlockSwComponentType_NVBlockDescriptor_Sample_Block_2</t>
  </si>
  <si>
    <t>Rte_NvBlockSwComponentType_NVBlockDescriptor_Sample_Block_2_ROM_NVBlockDescriptor_Sample_Block_2</t>
  </si>
  <si>
    <t>Rte_Call_NvM_NvM_RpNotifyJobEnd_NvBlockSwComponentTypeNVBlockDescriptor_Sample_Block_2_JobFinished</t>
  </si>
  <si>
    <t>NvMBlockDescriptor_NvBlockSwComponentTypeNVBlockDescriptor_Sample_Block_3</t>
  </si>
  <si>
    <t>NV_Data_Sample_Block_3</t>
  </si>
  <si>
    <t>Rte_NvBlockSwComponentType_NVBlockDescriptor_Sample_Block_3</t>
  </si>
  <si>
    <t>Rte_NvBlockSwComponentType_NVBlockDescriptor_Sample_Block_3_ROM_NVBlockDescriptor_Sample_Block_3</t>
  </si>
  <si>
    <t>Rte_Call_NvM_NvM_RpNotifyJobEnd_NvBlockSwComponentTypeNVBlockDescriptor_Sample_Block_3_JobFinished</t>
  </si>
  <si>
    <t>NvMBlockDescriptor_NvBlockSwComponentTypeNVBlockDescriptor_Sample_Block_4</t>
  </si>
  <si>
    <t>NV_Data_Sample_Block_4</t>
  </si>
  <si>
    <t>Rte_NvBlockSwComponentType_NVBlockDescriptor_Sample_Block_4</t>
  </si>
  <si>
    <t>Rte_NvBlockSwComponentType_NVBlockDescriptor_Sample_Block_4_ROM_NVBlockDescriptor_Sample_Block_4</t>
  </si>
  <si>
    <t>Rte_Call_NvM_NvM_RpNotifyJobEnd_NvBlockSwComponentTypeNVBlockDescriptor_Sample_Block_4_JobFinished</t>
  </si>
  <si>
    <t>NvMBlockDescriptor_NvBlockSwComponentTypeNVBlockDescriptor_Sample_Block_5</t>
  </si>
  <si>
    <t>NV_Data_Sample_Block_5</t>
  </si>
  <si>
    <t>Rte_NvBlockSwComponentType_NVBlockDescriptor_Sample_Block_5</t>
  </si>
  <si>
    <t>Rte_NvBlockSwComponentType_NVBlockDescriptor_Sample_Block_5_ROM_NVBlockDescriptor_Sample_Block_5</t>
  </si>
  <si>
    <t>Rte_Call_NvM_NvM_RpNotifyJobEnd_NvBlockSwComponentTypeNVBlockDescriptor_Sample_Block_5_JobFinished</t>
  </si>
  <si>
    <t>NvMBlockDescriptor_NvBlockSwComponentTypeNVBlockDescriptor_Sample_Block_6</t>
  </si>
  <si>
    <t>NV_Data_Sample_Block_6</t>
  </si>
  <si>
    <t>Rte_NvBlockSwComponentType_NVBlockDescriptor_Sample_Block_6</t>
  </si>
  <si>
    <t>Rte_NvBlockSwComponentType_NVBlockDescriptor_Sample_Block_6_ROM_NVBlockDescriptor_Sample_Block_6</t>
  </si>
  <si>
    <t>Rte_Call_NvM_NvM_RpNotifyJobEnd_NvBlockSwComponentTypeNVBlockDescriptor_Sample_Block_6_JobFinished</t>
  </si>
  <si>
    <t>NvMBlockDescriptor_NvBlockSwComponentTypeNVBlockDescriptor_Sample_Block_7</t>
  </si>
  <si>
    <t>NV_Data_Sample_Block_7</t>
  </si>
  <si>
    <t>Rte_NvBlockSwComponentType_NVBlockDescriptor_Sample_Block_7</t>
  </si>
  <si>
    <t>Rte_NvBlockSwComponentType_NVBlockDescriptor_Sample_Block_7_ROM_NVBlockDescriptor_Sample_Block_7</t>
  </si>
  <si>
    <t>Rte_Call_NvM_NvM_RpNotifyJobEnd_NvBlockSwComponentTypeNVBlockDescriptor_Sample_Block_7_JobFinished</t>
  </si>
  <si>
    <t>NvMBlockDescriptor_NvBlockSwComponentTypeNVBlockDescriptor_Sample_Block_8</t>
  </si>
  <si>
    <t>NV_Data_Sample_Block_8</t>
  </si>
  <si>
    <t>Rte_NvBlockSwComponentType_NVBlockDescriptor_Sample_Block_8</t>
  </si>
  <si>
    <t>Rte_NvBlockSwComponentType_NVBlockDescriptor_Sample_Block_8_ROM_NVBlockDescriptor_Sample_Block_8</t>
  </si>
  <si>
    <t>Rte_Call_NvM_NvM_RpNotifyJobEnd_NvBlockSwComponentTypeNVBlockDescriptor_Sample_Block_8_JobFinished</t>
  </si>
  <si>
    <t>NvMBlockDescriptor_NvBlockSwComponentTypeNVBlockDescriptor_Sample_Block_9</t>
  </si>
  <si>
    <t>NV_Data_Sample_Block_9</t>
  </si>
  <si>
    <t>Rte_NvBlockSwComponentType_NVBlockDescriptor_Sample_Block_9</t>
  </si>
  <si>
    <t>Rte_NvBlockSwComponentType_NVBlockDescriptor_Sample_Block_9_ROM_NVBlockDescriptor_Sample_Block_9</t>
  </si>
  <si>
    <t>Rte_Call_NvM_NvM_RpNotifyJobEnd_NvBlockSwComponentTypeNVBlockDescriptor_Sample_Block_9_JobFinished</t>
  </si>
  <si>
    <t>NvMBlockDescriptor_NvBlockSwComponentTypeNVBlockDescriptor_Sample_Block_10</t>
  </si>
  <si>
    <t>NV_Data_Sample_Block_10</t>
  </si>
  <si>
    <t>Rte_NvBlockSwComponentType_NVBlockDescriptor_Sample_Block_10</t>
  </si>
  <si>
    <t>Rte_NvBlockSwComponentType_NVBlockDescriptor_Sample_Block_10_ROM_NVBlockDescriptor_Sample_Block_10</t>
  </si>
  <si>
    <t>Rte_Call_NvM_NvM_RpNotifyJobEnd_NvBlockSwComponentTypeNVBlockDescriptor_Sample_Block_10_JobFinished</t>
  </si>
  <si>
    <t>NvMBlockDescriptor_NvBlockSwComponentTypeNVBlockDescriptor_Sample_Block_11</t>
  </si>
  <si>
    <t>NV_Data_Sample_Block_11</t>
  </si>
  <si>
    <t>Rte_NvBlockSwComponentType_NVBlockDescriptor_Sample_Block_11</t>
  </si>
  <si>
    <t>Rte_NvBlockSwComponentType_NVBlockDescriptor_Sample_Block_11_ROM_NVBlockDescriptor_Sample_Block_11</t>
  </si>
  <si>
    <t>Rte_Call_NvM_NvM_RpNotifyJobEnd_NvBlockSwComponentTypeNVBlockDescriptor_Sample_Block_11_JobFinished</t>
  </si>
  <si>
    <t>NvMBlockDescriptor_NvBlockSwComponentTypeNVBlockDescriptor_Sample_Block_12</t>
  </si>
  <si>
    <t>NV_Data_Sample_Block_12</t>
  </si>
  <si>
    <t>Rte_NvBlockSwComponentType_NVBlockDescriptor_Sample_Block_12</t>
  </si>
  <si>
    <t>Rte_NvBlockSwComponentType_NVBlockDescriptor_Sample_Block_12_ROM_NVBlockDescriptor_Sample_Block_12</t>
  </si>
  <si>
    <t>Rte_Call_NvM_NvM_RpNotifyJobEnd_NvBlockSwComponentTypeNVBlockDescriptor_Sample_Block_12_JobFinished</t>
  </si>
  <si>
    <t>NvMBlockDescriptor_NvBlockSwComponentTypeNVBlockDescriptor_Sample_Block_14</t>
  </si>
  <si>
    <t>NV_Data_Sample_Block_14</t>
  </si>
  <si>
    <t>Rte_NvBlockSwComponentType_NVBlockDescriptor_Sample_Block_14</t>
  </si>
  <si>
    <t>Rte_NvBlockSwComponentType_NVBlockDescriptor_Sample_Block_14_ROM_NVBlockDescriptor_Sample_Block_14</t>
  </si>
  <si>
    <t>Rte_Call_NvM_NvM_RpNotifyJobEnd_NvBlockSwComponentTypeNVBlockDescriptor_Sample_Block_14_JobFinished</t>
  </si>
  <si>
    <t>Arr_u32_2</t>
  </si>
  <si>
    <t>Record</t>
  </si>
  <si>
    <t>a1_u8</t>
  </si>
  <si>
    <t>a2_u8</t>
  </si>
  <si>
    <t>a3_u8_4</t>
  </si>
  <si>
    <t>a4_u32</t>
  </si>
  <si>
    <t>b1_u8</t>
  </si>
  <si>
    <t>b2_u16</t>
  </si>
  <si>
    <t>b3_u16</t>
  </si>
  <si>
    <t>b4_u16</t>
  </si>
  <si>
    <t>b5_u8</t>
  </si>
  <si>
    <t>b6_u8</t>
  </si>
  <si>
    <t>b7_u8</t>
  </si>
  <si>
    <t>b8_u8</t>
  </si>
  <si>
    <t>b9_u8</t>
  </si>
  <si>
    <t>b10_u8</t>
  </si>
  <si>
    <t>b11_u32_2</t>
  </si>
  <si>
    <t>b12_u16_2</t>
  </si>
  <si>
    <t>b13_u8_4</t>
  </si>
  <si>
    <t>Struct_c</t>
  </si>
  <si>
    <t>c1_u32</t>
  </si>
  <si>
    <t>c2_u32</t>
  </si>
  <si>
    <t>c3_u32</t>
  </si>
  <si>
    <t>c4_u8</t>
  </si>
  <si>
    <t>NvMBlockDescriptor_NvBlockSwComponentTypeNVBlockDescriptor_DemAdmin</t>
  </si>
  <si>
    <t>Dem_Cfg_AdminDataType</t>
  </si>
  <si>
    <t>Dem_Cfg_AdminData</t>
  </si>
  <si>
    <t>Dem_NvM_JobFinished</t>
  </si>
  <si>
    <t>MEMIF_EA</t>
  </si>
  <si>
    <t>NVM_NATIVE_BLOCK</t>
  </si>
  <si>
    <t>NvMBlockDescriptor_NvBlockSwComponentTypeNVBlockDescriptor_DemStatus</t>
  </si>
  <si>
    <t>Dem_Cfg_StatusDataType</t>
  </si>
  <si>
    <t>Dem_Cfg_StatusData</t>
  </si>
  <si>
    <t>NvMBlockDescriptor_NvBlockSwComponentTypeNVBlockDescriptor_DemPrimary_000</t>
  </si>
  <si>
    <t>Dem_Cfg_PrimaryEntryType</t>
  </si>
  <si>
    <t>Dem_Cfg_PrimaryEntry_0</t>
  </si>
  <si>
    <t>Dem_Cfg_MemoryEntryInit</t>
  </si>
  <si>
    <t>NvMBlockDescriptor_NvBlockSwComponentTypeNVBlockDescriptor_DemPrimary_001</t>
  </si>
  <si>
    <t>Dem_Cfg_PrimaryEntry_1</t>
  </si>
  <si>
    <t>NvMBlockDescriptor_NvBlockSwComponentTypeNVBlockDescriptor_DemPrimary_002</t>
  </si>
  <si>
    <t>Dem_Cfg_PrimaryEntry_2</t>
  </si>
  <si>
    <t>NvMBlockDescriptor_NvBlockSwComponentTypeNVBlockDescriptor_DemPrimary_003</t>
  </si>
  <si>
    <t>Dem_Cfg_PrimaryEntry_3</t>
  </si>
  <si>
    <t>NvMBlockDescriptor_NvBlockSwComponentTypeNVBlockDescriptor_DemPrimary_004</t>
  </si>
  <si>
    <t>Dem_Cfg_PrimaryEntry_4</t>
  </si>
  <si>
    <t>NvMBlockDescriptor_NvBlockSwComponentTypeNVBlockDescriptor_DemPrimary_005</t>
  </si>
  <si>
    <t>Dem_Cfg_PrimaryEntry_5</t>
  </si>
  <si>
    <t>SAMPLE</t>
  </si>
  <si>
    <t>NvMBlockDescriptor_NvBlockSwComponentTypeNVBlockDescriptor_DemPrimary_006</t>
  </si>
  <si>
    <t>Dem_Cfg_PrimaryEntry_6</t>
  </si>
  <si>
    <t>Legacy</t>
  </si>
  <si>
    <t>EA</t>
  </si>
  <si>
    <t>NvMBlockDescriptor_NvBlockSwComponentTypeNVBlockDescriptor_Sample_SNvM_Block</t>
  </si>
  <si>
    <t>Ram_Sample_SNvM_Block</t>
  </si>
  <si>
    <t>Sample_SNvM_Block_NvM_JobFinished</t>
  </si>
  <si>
    <t>Sample_Element_27</t>
  </si>
  <si>
    <t>Sample_Block_13</t>
  </si>
  <si>
    <t>Sample_Element_35</t>
  </si>
  <si>
    <t>NvMBlockDescriptor_NvBlockSwComponentTypeNVBlockDescriptor_Sample_Block_13</t>
  </si>
  <si>
    <t>NV_Data_Sample_Block_13</t>
  </si>
  <si>
    <t>Rte_NvBlockSwComponentType_NVBlockDescriptor_Sample_Block_13</t>
  </si>
  <si>
    <t>Rte_NvBlockSwComponentType_NVBlockDescriptor_Sample_Block_13_ROM_NVBlockDescriptor_Sample_Block_13</t>
  </si>
  <si>
    <t>Rte_Call_NvM_NvM_RpNotifyJobEnd_NvBlockSwComponentTypeNVBlockDescriptor_Sample_Block_13_JobFinished</t>
  </si>
  <si>
    <t>Rom_Sample_SNvM_Block</t>
  </si>
  <si>
    <t>MEMIF_SNvM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</si>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</sst>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</fills>
  <borders count="4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3" fillId="2" borderId="2" xfId="0" applyFont="1" applyFill="1" applyBorder="1" applyAlignment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0" xfId="0" applyAlignment="1">
      <alignment horizontal="center" vertical="center"/>
    </xf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0" fillId="0" borderId="28" xfId="0" applyBorder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1" xfId="0" applyBorder="1"/>
    <xf numFmtId="0" fontId="0" fillId="0" borderId="31" xfId="0" applyBorder="1" applyAlignment="1">
      <alignment wrapText="1"/>
    </xf>
    <xf numFmtId="0" fontId="2" fillId="0" borderId="0" xfId="0" applyFont="1" applyAlignment="1"/>
    <xf numFmtId="0" fontId="2" fillId="3" borderId="35" xfId="0" applyFont="1" applyFill="1" applyBorder="1"/>
    <xf numFmtId="0" fontId="0" fillId="0" borderId="37" xfId="0" applyBorder="1"/>
    <xf numFmtId="0" fontId="0" fillId="0" borderId="10" xfId="0" applyBorder="1"/>
    <xf numFmtId="0" fontId="0" fillId="0" borderId="38" xfId="0" applyBorder="1"/>
    <xf numFmtId="0" fontId="0" fillId="0" borderId="39" xfId="0" applyBorder="1"/>
    <xf numFmtId="0" fontId="0" fillId="0" borderId="30" xfId="0" applyBorder="1"/>
    <xf numFmtId="0" fontId="0" fillId="0" borderId="40" xfId="0" applyBorder="1"/>
    <xf numFmtId="0" fontId="0" fillId="0" borderId="2" xfId="0" applyBorder="1"/>
    <xf numFmtId="0" fontId="0" fillId="0" borderId="33" xfId="0" applyBorder="1"/>
    <xf numFmtId="0" fontId="2" fillId="3" borderId="3" xfId="0" applyFont="1" applyFill="1" applyBorder="1"/>
    <xf numFmtId="0" fontId="2" fillId="10" borderId="24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7" xfId="0" applyFont="1" applyBorder="1" applyAlignment="1">
      <alignment horizont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34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3" borderId="35" xfId="0" applyFont="1" applyFill="1" applyBorder="1" applyAlignment="1">
      <alignment horizontal="center"/>
    </xf>
  </cellXfs>
  <cellStyles count="4">
    <cellStyle name="Hyperlink" xfId="2" builtinId="8"/>
    <cellStyle name="Neutral 2" xfId="3"/>
    <cellStyle name="Normal" xfId="0" builtinId="0"/>
    <cellStyle name="Normal 5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152400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17</xdr:row>
          <xdr:rowOff>142875</xdr:rowOff>
        </xdr:from>
        <xdr:to>
          <xdr:col>11</xdr:col>
          <xdr:colOff>523875</xdr:colOff>
          <xdr:row>21</xdr:row>
          <xdr:rowOff>142875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95250</xdr:rowOff>
        </xdr:from>
        <xdr:to>
          <xdr:col>15</xdr:col>
          <xdr:colOff>152400</xdr:colOff>
          <xdr:row>6</xdr:row>
          <xdr:rowOff>57150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40"/>
  <sheetViews>
    <sheetView workbookViewId="0">
      <selection activeCell="N13" sqref="N13"/>
    </sheetView>
  </sheetViews>
  <sheetFormatPr defaultRowHeight="15" x14ac:dyDescent="0.25"/>
  <sheetData>
    <row r="1" spans="1:20" ht="23.25" x14ac:dyDescent="0.35">
      <c r="A1" s="49" t="s">
        <v>469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5"/>
      <c r="M1" s="45"/>
      <c r="N1" s="45"/>
      <c r="O1" s="45"/>
      <c r="P1" s="45"/>
      <c r="Q1" s="45"/>
      <c r="R1" s="45"/>
    </row>
    <row r="2" spans="1:20" ht="23.25" x14ac:dyDescent="0.35">
      <c r="A2" s="49" t="s">
        <v>468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5"/>
      <c r="M2" s="45"/>
      <c r="N2" s="45"/>
      <c r="O2" s="45"/>
      <c r="P2" s="45"/>
      <c r="Q2" s="45"/>
      <c r="R2" s="45"/>
    </row>
    <row r="8" spans="1:20" ht="23.25" x14ac:dyDescent="0.35">
      <c r="A8" s="49" t="s">
        <v>448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25">
      <c r="A9" s="50" t="s">
        <v>450</v>
      </c>
    </row>
    <row r="10" spans="1:20" x14ac:dyDescent="0.25">
      <c r="A10" s="50" t="s">
        <v>0</v>
      </c>
    </row>
    <row r="12" spans="1:20" ht="23.25" x14ac:dyDescent="0.35">
      <c r="A12" s="49" t="s">
        <v>453</v>
      </c>
      <c r="B12" s="45"/>
      <c r="C12" s="45"/>
      <c r="D12" s="45"/>
      <c r="E12" s="45"/>
      <c r="F12" s="45"/>
      <c r="G12" s="45"/>
      <c r="H12" s="45"/>
      <c r="I12" s="45"/>
      <c r="J12" s="45"/>
    </row>
    <row r="13" spans="1:20" x14ac:dyDescent="0.25">
      <c r="A13" s="50" t="s">
        <v>451</v>
      </c>
    </row>
    <row r="14" spans="1:20" x14ac:dyDescent="0.25">
      <c r="A14" s="50" t="s">
        <v>452</v>
      </c>
    </row>
    <row r="15" spans="1:20" x14ac:dyDescent="0.25">
      <c r="A15" s="50" t="s">
        <v>454</v>
      </c>
    </row>
    <row r="17" spans="1:18" ht="23.25" x14ac:dyDescent="0.35">
      <c r="A17" s="49" t="s">
        <v>455</v>
      </c>
      <c r="B17" s="45"/>
      <c r="C17" s="45"/>
      <c r="D17" s="45"/>
      <c r="E17" s="45"/>
      <c r="F17" s="45"/>
      <c r="G17" s="45"/>
      <c r="H17" s="45"/>
      <c r="I17" s="45"/>
    </row>
    <row r="19" spans="1:18" ht="18.75" x14ac:dyDescent="0.3">
      <c r="C19" s="51" t="s">
        <v>449</v>
      </c>
      <c r="D19" s="45"/>
      <c r="E19" s="52" t="b">
        <v>1</v>
      </c>
    </row>
    <row r="20" spans="1:18" ht="18.75" x14ac:dyDescent="0.3">
      <c r="C20" s="51" t="s">
        <v>457</v>
      </c>
      <c r="D20" s="45"/>
      <c r="E20" s="52" t="b">
        <v>1</v>
      </c>
    </row>
    <row r="21" spans="1:18" ht="18.75" x14ac:dyDescent="0.3">
      <c r="C21" s="51" t="s">
        <v>456</v>
      </c>
      <c r="D21" s="45"/>
      <c r="E21" s="52" t="b">
        <v>1</v>
      </c>
    </row>
    <row r="22" spans="1:18" ht="18.75" x14ac:dyDescent="0.3">
      <c r="C22" s="51" t="s">
        <v>550</v>
      </c>
      <c r="D22" s="45"/>
      <c r="E22" s="52" t="b">
        <v>1</v>
      </c>
    </row>
    <row r="24" spans="1:18" ht="18.75" x14ac:dyDescent="0.3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</row>
    <row r="25" spans="1:18" ht="18.75" x14ac:dyDescent="0.3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</row>
    <row r="26" spans="1:18" ht="18.75" x14ac:dyDescent="0.3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</row>
    <row r="27" spans="1:18" ht="18.75" x14ac:dyDescent="0.3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</row>
    <row r="28" spans="1:18" ht="18.75" x14ac:dyDescent="0.3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</row>
    <row r="29" spans="1:18" ht="18.75" x14ac:dyDescent="0.3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</row>
    <row r="30" spans="1:18" ht="18.75" x14ac:dyDescent="0.3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</row>
    <row r="31" spans="1:18" ht="18.75" x14ac:dyDescent="0.3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</row>
    <row r="32" spans="1:18" ht="18.75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</row>
    <row r="33" spans="1:18" ht="18.75" x14ac:dyDescent="0.3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</row>
    <row r="34" spans="1:18" ht="18.75" x14ac:dyDescent="0.3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</row>
    <row r="35" spans="1:18" ht="18.75" x14ac:dyDescent="0.3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</row>
    <row r="36" spans="1:18" ht="18.75" x14ac:dyDescent="0.3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</row>
    <row r="37" spans="1:18" ht="18.75" x14ac:dyDescent="0.3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</row>
    <row r="38" spans="1:18" ht="18.75" x14ac:dyDescent="0.3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</row>
    <row r="39" spans="1:18" ht="18.75" x14ac:dyDescent="0.3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</row>
    <row r="40" spans="1:18" ht="18.75" x14ac:dyDescent="0.3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</row>
  </sheetData>
  <conditionalFormatting sqref="E19:E22">
    <cfRule type="containsText" dxfId="0" priority="1" operator="containsText" text="FALSE">
      <formula>NOT(ISERROR(SEARCH("FALSE",E19)))</formula>
    </cfRule>
  </conditionalFormatting>
  <dataValidations count="1">
    <dataValidation type="list" allowBlank="1" showInputMessage="1" showErrorMessage="1" sqref="E19:E22">
      <formula1>"TRUE,FALSE"</formula1>
    </dataValidation>
  </dataValidations>
  <hyperlinks>
    <hyperlink ref="A9" location="NvMConfig!A1" display="NvMConfig"/>
    <hyperlink ref="A10" location="BlockDescription!A1" display="BlockDescription"/>
    <hyperlink ref="A13" location="FEEConfig!A1" display="FEEConfig"/>
    <hyperlink ref="A14" location="ExternalEEPROMConfig!A1" display="ExternalEEPROMConfig"/>
    <hyperlink ref="A15" location="NvMExt!A1" display="NvMExt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ommandButton3">
          <controlPr defaultSize="0" autoLine="0" autoPict="0" r:id="rId5">
            <anchor moveWithCells="1">
              <from>
                <xdr:col>11</xdr:col>
                <xdr:colOff>552450</xdr:colOff>
                <xdr:row>3</xdr:row>
                <xdr:rowOff>95250</xdr:rowOff>
              </from>
              <to>
                <xdr:col>15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1270" r:id="rId4" name="CommandButton3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447675</xdr:colOff>
                <xdr:row>17</xdr:row>
                <xdr:rowOff>142875</xdr:rowOff>
              </from>
              <to>
                <xdr:col>11</xdr:col>
                <xdr:colOff>523875</xdr:colOff>
                <xdr:row>21</xdr:row>
                <xdr:rowOff>142875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autoPict="0" r:id="rId9">
            <anchor moveWithCells="1">
              <from>
                <xdr:col>6</xdr:col>
                <xdr:colOff>209550</xdr:colOff>
                <xdr:row>2</xdr:row>
                <xdr:rowOff>152400</xdr:rowOff>
              </from>
              <to>
                <xdr:col>9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D22"/>
  <sheetViews>
    <sheetView workbookViewId="0">
      <selection activeCell="E16" sqref="E16"/>
    </sheetView>
  </sheetViews>
  <sheetFormatPr defaultColWidth="9.140625" defaultRowHeight="15" x14ac:dyDescent="0.25"/>
  <cols>
    <col min="1" max="1" width="45.42578125" style="54" bestFit="1" customWidth="1"/>
    <col min="2" max="2" width="23.85546875" style="54" customWidth="1"/>
    <col min="3" max="3" width="9.7109375" style="54" bestFit="1" customWidth="1"/>
    <col min="4" max="16384" width="9.140625" style="54"/>
  </cols>
  <sheetData>
    <row r="3" spans="1:4" ht="15.75" customHeight="1" x14ac:dyDescent="0.25">
      <c r="A3" s="54" t="s">
        <v>472</v>
      </c>
    </row>
    <row r="4" spans="1:4" ht="15.75" customHeight="1" x14ac:dyDescent="0.25">
      <c r="A4" s="54" t="s">
        <v>473</v>
      </c>
      <c r="B4" s="54" t="s">
        <v>474</v>
      </c>
    </row>
    <row r="5" spans="1:4" ht="33" x14ac:dyDescent="0.25">
      <c r="A5" s="54" t="s">
        <v>475</v>
      </c>
      <c r="B5" s="55" t="s">
        <v>512</v>
      </c>
    </row>
    <row r="6" spans="1:4" x14ac:dyDescent="0.25">
      <c r="A6" s="54" t="s">
        <v>476</v>
      </c>
      <c r="B6" s="54" t="s">
        <v>477</v>
      </c>
    </row>
    <row r="9" spans="1:4" x14ac:dyDescent="0.25">
      <c r="A9" s="54" t="s">
        <v>478</v>
      </c>
    </row>
    <row r="11" spans="1:4" x14ac:dyDescent="0.25">
      <c r="A11" s="56" t="s">
        <v>479</v>
      </c>
      <c r="B11" s="56" t="s">
        <v>480</v>
      </c>
      <c r="C11" s="56" t="s">
        <v>36</v>
      </c>
      <c r="D11" s="56" t="s">
        <v>481</v>
      </c>
    </row>
    <row r="12" spans="1:4" ht="33" x14ac:dyDescent="0.25">
      <c r="A12" s="55" t="s">
        <v>511</v>
      </c>
      <c r="B12" s="57" t="s">
        <v>482</v>
      </c>
      <c r="C12" s="57" t="s">
        <v>11</v>
      </c>
      <c r="D12" s="57" t="s">
        <v>483</v>
      </c>
    </row>
    <row r="13" spans="1:4" x14ac:dyDescent="0.25">
      <c r="A13" s="57"/>
      <c r="B13" s="57"/>
      <c r="C13" s="57"/>
      <c r="D13" s="57"/>
    </row>
    <row r="14" spans="1:4" x14ac:dyDescent="0.25">
      <c r="A14" s="57"/>
      <c r="B14" s="57"/>
      <c r="C14" s="57"/>
      <c r="D14" s="57"/>
    </row>
    <row r="18" spans="1:3" x14ac:dyDescent="0.25">
      <c r="A18" s="54" t="s">
        <v>509</v>
      </c>
      <c r="B18" s="54">
        <v>1</v>
      </c>
    </row>
    <row r="22" spans="1:3" x14ac:dyDescent="0.25">
      <c r="C22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0"/>
  <sheetViews>
    <sheetView zoomScale="90" zoomScaleNormal="90" workbookViewId="0">
      <pane xSplit="2" topLeftCell="C1" activePane="topRight" state="frozen"/>
      <selection activeCell="A8" sqref="A8"/>
      <selection pane="topRight" activeCell="B33" sqref="B33"/>
    </sheetView>
  </sheetViews>
  <sheetFormatPr defaultColWidth="9.140625" defaultRowHeight="15" x14ac:dyDescent="0.25"/>
  <cols>
    <col min="1" max="1" width="14.28515625" style="1" customWidth="1"/>
    <col min="2" max="2" width="61" style="1" customWidth="1"/>
    <col min="3" max="3" width="19.5703125" style="1" bestFit="1" customWidth="1"/>
    <col min="4" max="4" width="21.42578125" style="1" bestFit="1" customWidth="1"/>
    <col min="5" max="5" width="20.7109375" style="1" bestFit="1" customWidth="1"/>
    <col min="6" max="6" width="31.140625" style="1" customWidth="1"/>
    <col min="7" max="7" width="18" style="1" customWidth="1"/>
    <col min="8" max="8" width="28.42578125" style="1" bestFit="1" customWidth="1"/>
    <col min="9" max="9" width="19.140625" style="1" bestFit="1" customWidth="1"/>
    <col min="10" max="10" width="27.7109375" style="1" bestFit="1" customWidth="1"/>
    <col min="11" max="11" width="16" style="1" bestFit="1" customWidth="1"/>
    <col min="12" max="12" width="20.28515625" style="1" bestFit="1" customWidth="1"/>
    <col min="13" max="13" width="22" style="1" bestFit="1" customWidth="1"/>
    <col min="14" max="14" width="21.140625" style="1" bestFit="1" customWidth="1"/>
    <col min="15" max="15" width="22" style="1" bestFit="1" customWidth="1"/>
    <col min="16" max="17" width="15.5703125" style="1" bestFit="1" customWidth="1"/>
    <col min="18" max="18" width="34.42578125" style="1" customWidth="1"/>
    <col min="19" max="19" width="15" style="1" bestFit="1" customWidth="1"/>
    <col min="20" max="20" width="21.140625" style="1" bestFit="1" customWidth="1"/>
    <col min="21" max="21" width="17.28515625" style="1" bestFit="1" customWidth="1"/>
    <col min="22" max="22" width="21.7109375" style="1" bestFit="1" customWidth="1"/>
    <col min="23" max="23" width="14.42578125" style="1" bestFit="1" customWidth="1"/>
    <col min="24" max="25" width="22.28515625" style="1" bestFit="1" customWidth="1"/>
    <col min="26" max="26" width="16.140625" style="1" bestFit="1" customWidth="1"/>
    <col min="27" max="27" width="10.5703125" style="1" bestFit="1" customWidth="1"/>
    <col min="28" max="28" width="20.7109375" style="1" bestFit="1" customWidth="1"/>
    <col min="29" max="16384" width="9.140625" style="1"/>
  </cols>
  <sheetData>
    <row r="1" spans="1:29" ht="15" customHeight="1" x14ac:dyDescent="0.25">
      <c r="A1" s="11" t="s">
        <v>12</v>
      </c>
      <c r="B1" s="83" t="s">
        <v>13</v>
      </c>
      <c r="C1" s="83"/>
      <c r="D1" s="83"/>
      <c r="E1" s="83"/>
      <c r="F1" s="83"/>
      <c r="G1" s="86"/>
      <c r="H1" s="10"/>
    </row>
    <row r="2" spans="1:29" ht="15" customHeight="1" thickBot="1" x14ac:dyDescent="0.3">
      <c r="A2" s="12"/>
      <c r="B2" s="84"/>
      <c r="C2" s="84"/>
      <c r="D2" s="84"/>
      <c r="E2" s="84"/>
      <c r="F2" s="84"/>
      <c r="G2" s="87"/>
      <c r="H2" s="10"/>
    </row>
    <row r="3" spans="1:29" x14ac:dyDescent="0.25">
      <c r="A3" s="12"/>
      <c r="B3" s="84"/>
      <c r="C3" s="84"/>
      <c r="D3" s="84"/>
      <c r="E3" s="84"/>
      <c r="F3" s="84"/>
      <c r="G3" s="88" t="s">
        <v>24</v>
      </c>
      <c r="H3" s="10"/>
    </row>
    <row r="4" spans="1:29" x14ac:dyDescent="0.25">
      <c r="A4" s="12"/>
      <c r="B4" s="84"/>
      <c r="C4" s="84"/>
      <c r="D4" s="84"/>
      <c r="E4" s="84"/>
      <c r="F4" s="84"/>
      <c r="G4" s="88"/>
      <c r="H4" s="10"/>
    </row>
    <row r="5" spans="1:29" ht="15.75" thickBot="1" x14ac:dyDescent="0.3">
      <c r="A5" s="13"/>
      <c r="B5" s="85"/>
      <c r="C5" s="85"/>
      <c r="D5" s="85"/>
      <c r="E5" s="85"/>
      <c r="F5" s="85"/>
      <c r="G5" s="89"/>
      <c r="H5" s="10"/>
    </row>
    <row r="6" spans="1:29" ht="24" thickBot="1" x14ac:dyDescent="0.4">
      <c r="A6" s="2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9" x14ac:dyDescent="0.25">
      <c r="B7" s="3" t="s">
        <v>1</v>
      </c>
    </row>
    <row r="8" spans="1:29" ht="15.75" thickBot="1" x14ac:dyDescent="0.3"/>
    <row r="9" spans="1:29" ht="15.75" thickBot="1" x14ac:dyDescent="0.3">
      <c r="B9" s="4" t="s">
        <v>15</v>
      </c>
      <c r="C9" s="4" t="s">
        <v>14</v>
      </c>
      <c r="D9" s="4" t="s">
        <v>16</v>
      </c>
      <c r="E9" s="4" t="s">
        <v>2</v>
      </c>
      <c r="F9" s="5" t="s">
        <v>3</v>
      </c>
    </row>
    <row r="10" spans="1:29" x14ac:dyDescent="0.25">
      <c r="B10" s="6" t="s">
        <v>4</v>
      </c>
      <c r="C10" s="6">
        <v>1</v>
      </c>
      <c r="D10" s="6">
        <v>0</v>
      </c>
      <c r="E10" s="6">
        <v>64</v>
      </c>
      <c r="F10" s="7">
        <v>14</v>
      </c>
    </row>
    <row r="12" spans="1:29" x14ac:dyDescent="0.25">
      <c r="A12" s="1">
        <v>1</v>
      </c>
      <c r="B12" s="8">
        <v>2</v>
      </c>
      <c r="C12" s="1">
        <v>3</v>
      </c>
      <c r="D12" s="8">
        <v>4</v>
      </c>
      <c r="E12" s="1">
        <v>5</v>
      </c>
      <c r="F12" s="8">
        <v>6</v>
      </c>
      <c r="G12" s="1">
        <v>7</v>
      </c>
      <c r="H12" s="8">
        <v>8</v>
      </c>
      <c r="I12" s="1">
        <v>9</v>
      </c>
      <c r="J12" s="8">
        <v>10</v>
      </c>
      <c r="K12" s="1">
        <v>11</v>
      </c>
      <c r="L12" s="8">
        <v>12</v>
      </c>
      <c r="M12" s="1">
        <v>13</v>
      </c>
      <c r="N12" s="8">
        <v>14</v>
      </c>
      <c r="O12" s="1">
        <v>15</v>
      </c>
      <c r="P12" s="8">
        <v>16</v>
      </c>
      <c r="Q12" s="1">
        <v>17</v>
      </c>
      <c r="R12" s="8">
        <v>18</v>
      </c>
      <c r="S12" s="1">
        <v>19</v>
      </c>
      <c r="T12" s="8">
        <v>20</v>
      </c>
      <c r="U12" s="1">
        <v>21</v>
      </c>
      <c r="V12" s="8">
        <v>22</v>
      </c>
      <c r="W12" s="1">
        <v>23</v>
      </c>
      <c r="X12" s="8">
        <v>24</v>
      </c>
      <c r="Y12" s="1">
        <v>25</v>
      </c>
      <c r="Z12" s="8">
        <v>26</v>
      </c>
      <c r="AA12" s="1">
        <v>27</v>
      </c>
      <c r="AB12" s="8">
        <v>28</v>
      </c>
    </row>
    <row r="13" spans="1:29" x14ac:dyDescent="0.25">
      <c r="B13" s="3" t="s">
        <v>17</v>
      </c>
    </row>
    <row r="14" spans="1:29" ht="30.75" thickBot="1" x14ac:dyDescent="0.3">
      <c r="R14" s="14" t="s">
        <v>25</v>
      </c>
    </row>
    <row r="15" spans="1:29" x14ac:dyDescent="0.25">
      <c r="A15" s="44" t="s">
        <v>489</v>
      </c>
      <c r="B15" s="44" t="s">
        <v>5</v>
      </c>
      <c r="C15" s="44" t="s">
        <v>490</v>
      </c>
      <c r="D15" s="44" t="s">
        <v>491</v>
      </c>
      <c r="E15" s="44" t="s">
        <v>492</v>
      </c>
      <c r="F15" s="44" t="s">
        <v>493</v>
      </c>
      <c r="G15" s="44" t="s">
        <v>494</v>
      </c>
      <c r="H15" s="44" t="s">
        <v>495</v>
      </c>
      <c r="I15" s="44" t="s">
        <v>18</v>
      </c>
      <c r="J15" s="44" t="s">
        <v>496</v>
      </c>
      <c r="K15" s="44" t="s">
        <v>497</v>
      </c>
      <c r="L15" s="44" t="s">
        <v>498</v>
      </c>
      <c r="M15" s="44" t="s">
        <v>19</v>
      </c>
      <c r="N15" s="44" t="s">
        <v>499</v>
      </c>
      <c r="O15" s="44" t="s">
        <v>500</v>
      </c>
      <c r="P15" s="44" t="s">
        <v>501</v>
      </c>
      <c r="Q15" s="44" t="s">
        <v>502</v>
      </c>
      <c r="R15" s="44" t="s">
        <v>503</v>
      </c>
      <c r="S15" s="44" t="s">
        <v>504</v>
      </c>
      <c r="T15" s="44" t="s">
        <v>505</v>
      </c>
      <c r="U15" s="44" t="s">
        <v>506</v>
      </c>
      <c r="V15" s="44" t="s">
        <v>507</v>
      </c>
      <c r="W15" s="44" t="s">
        <v>20</v>
      </c>
      <c r="X15" s="44" t="s">
        <v>6</v>
      </c>
      <c r="Y15" s="44" t="s">
        <v>21</v>
      </c>
      <c r="Z15" s="44" t="s">
        <v>23</v>
      </c>
      <c r="AA15" s="44" t="s">
        <v>22</v>
      </c>
      <c r="AB15" s="44" t="s">
        <v>26</v>
      </c>
    </row>
    <row r="16" spans="1:29" x14ac:dyDescent="0.25">
      <c r="A16">
        <f>INT((2+7+C16)/8)*8</f>
        <v>264</v>
      </c>
      <c r="B16" t="s">
        <v>559</v>
      </c>
      <c r="C16">
        <v>259</v>
      </c>
      <c r="D16" t="s">
        <v>516</v>
      </c>
      <c r="E16">
        <v>1</v>
      </c>
      <c r="F16" t="s">
        <v>471</v>
      </c>
      <c r="G16" t="b">
        <v>1</v>
      </c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10000</v>
      </c>
      <c r="AA16">
        <v>1</v>
      </c>
      <c r="AB16" t="s">
        <v>27</v>
      </c>
      <c r="AC16" s="10"/>
    </row>
    <row r="17" spans="1:29" x14ac:dyDescent="0.25">
      <c r="A17">
        <f t="shared" ref="A17:A30" si="0">INT((2+7+C17)/8)*8</f>
        <v>208</v>
      </c>
      <c r="B17" t="s">
        <v>562</v>
      </c>
      <c r="C17">
        <v>204</v>
      </c>
      <c r="D17" t="s">
        <v>516</v>
      </c>
      <c r="E17">
        <v>1</v>
      </c>
      <c r="F17" t="s">
        <v>471</v>
      </c>
      <c r="G17" t="b">
        <v>1</v>
      </c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300</v>
      </c>
      <c r="AA17">
        <v>2</v>
      </c>
      <c r="AB17" t="s">
        <v>27</v>
      </c>
      <c r="AC17" s="10"/>
    </row>
    <row r="18" spans="1:29" x14ac:dyDescent="0.25">
      <c r="A18">
        <f t="shared" si="0"/>
        <v>32</v>
      </c>
      <c r="B18" t="s">
        <v>581</v>
      </c>
      <c r="C18">
        <v>28</v>
      </c>
      <c r="D18" t="s">
        <v>516</v>
      </c>
      <c r="E18">
        <v>1</v>
      </c>
      <c r="F18" t="s">
        <v>471</v>
      </c>
      <c r="G18" t="b">
        <v>1</v>
      </c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10000</v>
      </c>
      <c r="AA18">
        <v>3</v>
      </c>
      <c r="AB18" t="s">
        <v>27</v>
      </c>
      <c r="AC18" s="10"/>
    </row>
    <row r="19" spans="1:29" x14ac:dyDescent="0.25">
      <c r="A19">
        <f t="shared" si="0"/>
        <v>96</v>
      </c>
      <c r="B19" t="s">
        <v>588</v>
      </c>
      <c r="C19">
        <v>90</v>
      </c>
      <c r="D19" t="s">
        <v>516</v>
      </c>
      <c r="E19">
        <v>1</v>
      </c>
      <c r="F19" t="s">
        <v>471</v>
      </c>
      <c r="G19" t="b">
        <v>1</v>
      </c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10000</v>
      </c>
      <c r="AA19">
        <v>4</v>
      </c>
      <c r="AB19" t="s">
        <v>27</v>
      </c>
      <c r="AC19" s="10"/>
    </row>
    <row r="20" spans="1:29" x14ac:dyDescent="0.25">
      <c r="A20">
        <f t="shared" si="0"/>
        <v>224</v>
      </c>
      <c r="B20" t="s">
        <v>592</v>
      </c>
      <c r="C20">
        <v>216</v>
      </c>
      <c r="D20" t="s">
        <v>516</v>
      </c>
      <c r="E20">
        <v>1</v>
      </c>
      <c r="F20" t="s">
        <v>471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10000</v>
      </c>
      <c r="AA20">
        <v>5</v>
      </c>
      <c r="AB20" t="s">
        <v>27</v>
      </c>
      <c r="AC20" s="10"/>
    </row>
    <row r="21" spans="1:29" x14ac:dyDescent="0.25">
      <c r="A21">
        <f t="shared" si="0"/>
        <v>8</v>
      </c>
      <c r="B21" t="s">
        <v>597</v>
      </c>
      <c r="C21">
        <v>4</v>
      </c>
      <c r="D21" t="s">
        <v>516</v>
      </c>
      <c r="E21">
        <v>1</v>
      </c>
      <c r="F21" t="s">
        <v>471</v>
      </c>
      <c r="G21" t="b">
        <v>1</v>
      </c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10000</v>
      </c>
      <c r="AA21">
        <v>6</v>
      </c>
      <c r="AB21" t="s">
        <v>27</v>
      </c>
      <c r="AC21" s="10"/>
    </row>
    <row r="22" spans="1:29" x14ac:dyDescent="0.25">
      <c r="A22">
        <f t="shared" si="0"/>
        <v>32</v>
      </c>
      <c r="B22" t="s">
        <v>599</v>
      </c>
      <c r="C22">
        <v>30</v>
      </c>
      <c r="D22" t="s">
        <v>516</v>
      </c>
      <c r="E22">
        <v>1</v>
      </c>
      <c r="F22" t="s">
        <v>471</v>
      </c>
      <c r="G22" t="b">
        <v>1</v>
      </c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10000</v>
      </c>
      <c r="AA22">
        <v>7</v>
      </c>
      <c r="AB22" t="s">
        <v>27</v>
      </c>
      <c r="AC22" s="10"/>
    </row>
    <row r="23" spans="1:29" x14ac:dyDescent="0.25">
      <c r="A23">
        <f t="shared" si="0"/>
        <v>16</v>
      </c>
      <c r="B23" t="s">
        <v>603</v>
      </c>
      <c r="C23">
        <v>12</v>
      </c>
      <c r="D23" t="s">
        <v>516</v>
      </c>
      <c r="E23">
        <v>1</v>
      </c>
      <c r="F23" t="s">
        <v>471</v>
      </c>
      <c r="G23" t="b">
        <v>1</v>
      </c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10000</v>
      </c>
      <c r="AA23">
        <v>8</v>
      </c>
      <c r="AB23" t="s">
        <v>27</v>
      </c>
      <c r="AC23" s="10"/>
    </row>
    <row r="24" spans="1:29" x14ac:dyDescent="0.25">
      <c r="A24">
        <f t="shared" si="0"/>
        <v>8</v>
      </c>
      <c r="B24" t="s">
        <v>607</v>
      </c>
      <c r="C24">
        <v>4</v>
      </c>
      <c r="D24" t="s">
        <v>516</v>
      </c>
      <c r="E24">
        <v>1</v>
      </c>
      <c r="F24" t="s">
        <v>471</v>
      </c>
      <c r="G24" t="b">
        <v>1</v>
      </c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10000</v>
      </c>
      <c r="AA24">
        <v>9</v>
      </c>
      <c r="AB24" t="s">
        <v>27</v>
      </c>
      <c r="AC24" s="10"/>
    </row>
    <row r="25" spans="1:29" x14ac:dyDescent="0.25">
      <c r="A25">
        <f t="shared" si="0"/>
        <v>304</v>
      </c>
      <c r="B25" t="s">
        <v>609</v>
      </c>
      <c r="C25">
        <v>296</v>
      </c>
      <c r="D25" t="s">
        <v>516</v>
      </c>
      <c r="E25">
        <v>1</v>
      </c>
      <c r="F25" t="s">
        <v>471</v>
      </c>
      <c r="G25" t="b">
        <v>1</v>
      </c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10000</v>
      </c>
      <c r="AA25">
        <v>10</v>
      </c>
      <c r="AB25" t="s">
        <v>27</v>
      </c>
      <c r="AC25" s="10"/>
    </row>
    <row r="26" spans="1:29" x14ac:dyDescent="0.25">
      <c r="A26">
        <f t="shared" si="0"/>
        <v>16</v>
      </c>
      <c r="B26" t="s">
        <v>622</v>
      </c>
      <c r="C26">
        <v>10</v>
      </c>
      <c r="D26" t="s">
        <v>646</v>
      </c>
      <c r="E26">
        <v>1</v>
      </c>
      <c r="F26" t="s">
        <v>471</v>
      </c>
      <c r="G26" t="b">
        <v>1</v>
      </c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10000</v>
      </c>
      <c r="AA26">
        <v>11</v>
      </c>
      <c r="AB26" t="s">
        <v>27</v>
      </c>
      <c r="AC26" s="10"/>
    </row>
    <row r="27" spans="1:29" x14ac:dyDescent="0.25">
      <c r="A27">
        <f t="shared" si="0"/>
        <v>16</v>
      </c>
      <c r="B27" t="s">
        <v>626</v>
      </c>
      <c r="C27">
        <v>12</v>
      </c>
      <c r="D27" t="s">
        <v>646</v>
      </c>
      <c r="E27">
        <v>1</v>
      </c>
      <c r="F27" t="s">
        <v>471</v>
      </c>
      <c r="G27" t="b">
        <v>1</v>
      </c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10000</v>
      </c>
      <c r="AA27">
        <v>12</v>
      </c>
      <c r="AB27" t="s">
        <v>27</v>
      </c>
      <c r="AC27" s="10"/>
    </row>
    <row r="28" spans="1:29" x14ac:dyDescent="0.25">
      <c r="A28">
        <f t="shared" si="0"/>
        <v>296</v>
      </c>
      <c r="B28" t="s">
        <v>771</v>
      </c>
      <c r="C28">
        <v>288</v>
      </c>
      <c r="D28" t="s">
        <v>516</v>
      </c>
      <c r="E28">
        <v>1</v>
      </c>
      <c r="F28" t="s">
        <v>471</v>
      </c>
      <c r="G28" t="b">
        <v>1</v>
      </c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10000</v>
      </c>
      <c r="AA28">
        <v>13</v>
      </c>
      <c r="AB28" t="s">
        <v>27</v>
      </c>
      <c r="AC28" s="10"/>
    </row>
    <row r="29" spans="1:29" x14ac:dyDescent="0.25">
      <c r="A29">
        <f t="shared" si="0"/>
        <v>16</v>
      </c>
      <c r="B29" t="s">
        <v>630</v>
      </c>
      <c r="C29">
        <v>10</v>
      </c>
      <c r="D29" t="s">
        <v>648</v>
      </c>
      <c r="E29">
        <v>1</v>
      </c>
      <c r="F29" t="s">
        <v>471</v>
      </c>
      <c r="G29" t="b">
        <v>1</v>
      </c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10000</v>
      </c>
      <c r="AA29">
        <v>14</v>
      </c>
      <c r="AB29" t="s">
        <v>27</v>
      </c>
      <c r="AC29" s="10"/>
    </row>
    <row r="30" spans="1:29" x14ac:dyDescent="0.25">
      <c r="A30">
        <f t="shared" si="0"/>
        <v>8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10"/>
    </row>
    <row r="31" spans="1:2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10"/>
    </row>
    <row r="32" spans="1:2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10"/>
    </row>
    <row r="33" spans="1:2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10"/>
    </row>
    <row r="34" spans="1:2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10"/>
    </row>
    <row r="35" spans="1:2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 s="10"/>
    </row>
    <row r="36" spans="1:2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10"/>
    </row>
    <row r="37" spans="1:2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 s="10"/>
    </row>
    <row r="38" spans="1:2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10"/>
    </row>
    <row r="39" spans="1:2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10"/>
    </row>
    <row r="40" spans="1:2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10"/>
    </row>
    <row r="41" spans="1:2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10"/>
    </row>
    <row r="42" spans="1:2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10"/>
    </row>
    <row r="43" spans="1:2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10"/>
    </row>
    <row r="44" spans="1:2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10"/>
    </row>
    <row r="45" spans="1:2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10"/>
    </row>
    <row r="46" spans="1:2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10"/>
    </row>
    <row r="47" spans="1:2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10"/>
    </row>
    <row r="48" spans="1:2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 s="10"/>
    </row>
    <row r="49" spans="1:2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10"/>
    </row>
    <row r="50" spans="1:2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 s="10"/>
    </row>
    <row r="51" spans="1:2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10"/>
    </row>
    <row r="52" spans="1:2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10"/>
    </row>
    <row r="53" spans="1:2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 s="10"/>
    </row>
    <row r="54" spans="1:2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10"/>
    </row>
    <row r="55" spans="1:2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10"/>
    </row>
    <row r="56" spans="1:2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0"/>
    </row>
    <row r="57" spans="1:2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10"/>
    </row>
    <row r="58" spans="1:2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10"/>
    </row>
    <row r="59" spans="1:2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0"/>
    </row>
    <row r="60" spans="1:2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0"/>
    </row>
    <row r="61" spans="1:2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10"/>
    </row>
    <row r="62" spans="1:2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 s="10"/>
    </row>
    <row r="63" spans="1:2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10"/>
    </row>
    <row r="64" spans="1:2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 s="10"/>
    </row>
    <row r="65" spans="1:2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 s="10"/>
    </row>
    <row r="66" spans="1:2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 s="10"/>
    </row>
    <row r="67" spans="1:2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 s="10"/>
    </row>
    <row r="68" spans="1:2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 s="10"/>
    </row>
    <row r="69" spans="1:2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10"/>
    </row>
    <row r="70" spans="1:2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10"/>
    </row>
    <row r="71" spans="1:2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10"/>
    </row>
    <row r="72" spans="1:2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10"/>
    </row>
    <row r="73" spans="1:2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10"/>
    </row>
    <row r="74" spans="1:2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0"/>
    </row>
    <row r="75" spans="1:2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10"/>
    </row>
    <row r="76" spans="1:2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10"/>
    </row>
    <row r="77" spans="1:2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10"/>
    </row>
    <row r="78" spans="1:2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10"/>
    </row>
    <row r="79" spans="1:2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0"/>
    </row>
    <row r="80" spans="1:2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10"/>
    </row>
    <row r="81" spans="1:2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10"/>
    </row>
    <row r="82" spans="1:2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10"/>
    </row>
    <row r="83" spans="1:2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10"/>
    </row>
    <row r="84" spans="1:2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10"/>
    </row>
    <row r="85" spans="1:2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10"/>
    </row>
    <row r="86" spans="1:2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10"/>
    </row>
    <row r="87" spans="1:2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10"/>
    </row>
    <row r="88" spans="1:2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10"/>
    </row>
    <row r="89" spans="1:2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10"/>
    </row>
    <row r="90" spans="1:2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10"/>
    </row>
    <row r="91" spans="1:2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10"/>
    </row>
    <row r="92" spans="1:2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10"/>
    </row>
    <row r="93" spans="1:2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10"/>
    </row>
    <row r="94" spans="1:2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10"/>
    </row>
    <row r="95" spans="1:2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10"/>
    </row>
    <row r="96" spans="1:2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10"/>
    </row>
    <row r="97" spans="1:2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10"/>
    </row>
    <row r="98" spans="1:2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10"/>
    </row>
    <row r="99" spans="1:2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10"/>
    </row>
    <row r="100" spans="1:2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10"/>
    </row>
    <row r="101" spans="1:2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10"/>
    </row>
    <row r="102" spans="1:2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10"/>
    </row>
    <row r="103" spans="1:2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10"/>
    </row>
    <row r="104" spans="1:2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10"/>
    </row>
    <row r="105" spans="1:2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10"/>
    </row>
    <row r="106" spans="1:2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10"/>
    </row>
    <row r="107" spans="1:2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10"/>
    </row>
    <row r="108" spans="1:2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10"/>
    </row>
    <row r="109" spans="1:2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10"/>
    </row>
    <row r="110" spans="1:2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10"/>
    </row>
    <row r="111" spans="1:2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10"/>
    </row>
    <row r="112" spans="1:2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0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0"/>
  <sheetViews>
    <sheetView topLeftCell="C1" zoomScale="70" zoomScaleNormal="70" workbookViewId="0">
      <selection activeCell="H18" sqref="H18"/>
    </sheetView>
  </sheetViews>
  <sheetFormatPr defaultColWidth="9.140625" defaultRowHeight="15" x14ac:dyDescent="0.25"/>
  <cols>
    <col min="1" max="1" width="12.42578125" style="1" customWidth="1"/>
    <col min="2" max="2" width="43.85546875" style="1" customWidth="1"/>
    <col min="3" max="3" width="63.5703125" style="1" customWidth="1"/>
    <col min="4" max="4" width="32.85546875" style="1" customWidth="1"/>
    <col min="5" max="5" width="14.5703125" style="1" customWidth="1"/>
    <col min="6" max="6" width="18.7109375" style="1" customWidth="1"/>
    <col min="7" max="7" width="19.42578125" style="14" hidden="1" customWidth="1"/>
    <col min="8" max="8" width="23.28515625" style="1" customWidth="1"/>
    <col min="9" max="9" width="69" style="14" customWidth="1"/>
    <col min="10" max="10" width="18.5703125" style="1" customWidth="1"/>
    <col min="11" max="11" width="16.85546875" style="1" customWidth="1"/>
    <col min="12" max="16384" width="9.140625" style="1"/>
  </cols>
  <sheetData>
    <row r="1" spans="1:28" ht="15" customHeight="1" x14ac:dyDescent="0.25">
      <c r="A1" s="11" t="s">
        <v>12</v>
      </c>
      <c r="B1" s="91" t="s">
        <v>13</v>
      </c>
      <c r="C1" s="84"/>
      <c r="D1" s="84"/>
      <c r="E1" s="84"/>
      <c r="F1" s="84"/>
      <c r="G1" s="92"/>
      <c r="H1" s="86"/>
    </row>
    <row r="2" spans="1:28" ht="15.75" customHeight="1" thickBot="1" x14ac:dyDescent="0.3">
      <c r="A2" s="12"/>
      <c r="B2" s="91"/>
      <c r="C2" s="84"/>
      <c r="D2" s="84"/>
      <c r="E2" s="84"/>
      <c r="F2" s="84"/>
      <c r="G2" s="92"/>
      <c r="H2" s="87"/>
    </row>
    <row r="3" spans="1:28" ht="15" customHeight="1" x14ac:dyDescent="0.25">
      <c r="A3" s="12"/>
      <c r="B3" s="91"/>
      <c r="C3" s="84"/>
      <c r="D3" s="84"/>
      <c r="E3" s="84"/>
      <c r="F3" s="84"/>
      <c r="G3" s="92"/>
      <c r="H3" s="88" t="str">
        <f>BlockDescription!G3</f>
        <v>V1.0.5</v>
      </c>
    </row>
    <row r="4" spans="1:28" ht="15" customHeight="1" x14ac:dyDescent="0.25">
      <c r="A4" s="12"/>
      <c r="B4" s="91"/>
      <c r="C4" s="84"/>
      <c r="D4" s="84"/>
      <c r="E4" s="84"/>
      <c r="F4" s="84"/>
      <c r="G4" s="92"/>
      <c r="H4" s="88"/>
    </row>
    <row r="5" spans="1:28" ht="15.75" customHeight="1" thickBot="1" x14ac:dyDescent="0.3">
      <c r="A5" s="13"/>
      <c r="B5" s="93"/>
      <c r="C5" s="85"/>
      <c r="D5" s="85"/>
      <c r="E5" s="85"/>
      <c r="F5" s="85"/>
      <c r="G5" s="94"/>
      <c r="H5" s="89"/>
    </row>
    <row r="6" spans="1:28" x14ac:dyDescent="0.25">
      <c r="B6" s="63"/>
      <c r="C6" s="63"/>
      <c r="D6" s="63"/>
      <c r="E6" s="63"/>
      <c r="F6" s="63"/>
      <c r="G6" s="64"/>
      <c r="I6" s="38"/>
      <c r="J6" s="37"/>
      <c r="K6" s="37"/>
    </row>
    <row r="7" spans="1:28" x14ac:dyDescent="0.25">
      <c r="B7" s="37"/>
      <c r="C7" s="37"/>
      <c r="D7" s="37"/>
      <c r="E7" s="37"/>
      <c r="F7" s="37"/>
      <c r="G7" s="38"/>
      <c r="H7" s="9"/>
      <c r="I7" s="90" t="s">
        <v>514</v>
      </c>
      <c r="J7" s="90"/>
      <c r="K7" s="90"/>
      <c r="L7" s="10"/>
    </row>
    <row r="8" spans="1:28" ht="30" x14ac:dyDescent="0.25">
      <c r="A8" s="9"/>
      <c r="B8" s="39" t="s">
        <v>5</v>
      </c>
      <c r="C8" s="40" t="s">
        <v>7</v>
      </c>
      <c r="D8" s="40" t="s">
        <v>8</v>
      </c>
      <c r="E8" s="40" t="s">
        <v>9</v>
      </c>
      <c r="F8" s="40" t="s">
        <v>10</v>
      </c>
      <c r="G8" s="41" t="s">
        <v>508</v>
      </c>
      <c r="H8" s="41" t="s">
        <v>470</v>
      </c>
      <c r="I8" s="61" t="s">
        <v>558</v>
      </c>
      <c r="J8" s="61" t="s">
        <v>515</v>
      </c>
      <c r="K8" s="61"/>
      <c r="L8" s="60"/>
      <c r="M8" s="37"/>
      <c r="N8" s="37"/>
      <c r="O8" s="37"/>
    </row>
    <row r="9" spans="1:28" x14ac:dyDescent="0.25">
      <c r="A9"/>
      <c r="B9" t="s">
        <v>559</v>
      </c>
      <c r="C9" t="s">
        <v>560</v>
      </c>
      <c r="D9" t="s">
        <v>553</v>
      </c>
      <c r="E9" t="s">
        <v>11</v>
      </c>
      <c r="F9">
        <v>15</v>
      </c>
      <c r="G9">
        <v>0</v>
      </c>
      <c r="H9" t="s">
        <v>519</v>
      </c>
      <c r="I9" t="s">
        <v>554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5">
      <c r="A10"/>
      <c r="B10" t="s">
        <v>559</v>
      </c>
      <c r="C10" t="s">
        <v>561</v>
      </c>
      <c r="D10" t="s">
        <v>556</v>
      </c>
      <c r="E10" t="s">
        <v>11</v>
      </c>
      <c r="F10">
        <v>244</v>
      </c>
      <c r="G10">
        <v>0</v>
      </c>
      <c r="H10" t="s">
        <v>519</v>
      </c>
      <c r="I10" t="s">
        <v>557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25">
      <c r="A11"/>
      <c r="B11" t="s">
        <v>562</v>
      </c>
      <c r="C11" t="s">
        <v>563</v>
      </c>
      <c r="D11" t="s">
        <v>564</v>
      </c>
      <c r="E11" t="s">
        <v>91</v>
      </c>
      <c r="F11">
        <v>29</v>
      </c>
      <c r="G11">
        <v>0</v>
      </c>
      <c r="H11" t="s">
        <v>519</v>
      </c>
      <c r="I11" t="s">
        <v>565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25">
      <c r="A12"/>
      <c r="B12" t="s">
        <v>562</v>
      </c>
      <c r="C12" t="s">
        <v>566</v>
      </c>
      <c r="D12" t="s">
        <v>567</v>
      </c>
      <c r="E12" t="s">
        <v>11</v>
      </c>
      <c r="F12">
        <v>5</v>
      </c>
      <c r="G12">
        <v>0</v>
      </c>
      <c r="H12" t="s">
        <v>519</v>
      </c>
      <c r="I12" t="s">
        <v>568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25">
      <c r="A13"/>
      <c r="B13" t="s">
        <v>562</v>
      </c>
      <c r="C13" t="s">
        <v>569</v>
      </c>
      <c r="D13" t="s">
        <v>570</v>
      </c>
      <c r="E13" t="s">
        <v>11</v>
      </c>
      <c r="F13">
        <v>10</v>
      </c>
      <c r="G13">
        <v>0</v>
      </c>
      <c r="H13" t="s">
        <v>519</v>
      </c>
      <c r="I13" t="s">
        <v>571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25">
      <c r="A14"/>
      <c r="B14" t="s">
        <v>562</v>
      </c>
      <c r="C14" t="s">
        <v>572</v>
      </c>
      <c r="D14" t="s">
        <v>573</v>
      </c>
      <c r="E14" t="s">
        <v>90</v>
      </c>
      <c r="F14">
        <v>24</v>
      </c>
      <c r="G14">
        <v>0</v>
      </c>
      <c r="H14" t="s">
        <v>519</v>
      </c>
      <c r="I14" t="s">
        <v>574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25">
      <c r="A15"/>
      <c r="B15" t="s">
        <v>562</v>
      </c>
      <c r="C15" t="s">
        <v>575</v>
      </c>
      <c r="D15" t="s">
        <v>576</v>
      </c>
      <c r="E15" t="s">
        <v>90</v>
      </c>
      <c r="F15">
        <v>2</v>
      </c>
      <c r="G15">
        <v>0</v>
      </c>
      <c r="H15" t="s">
        <v>519</v>
      </c>
      <c r="I15" t="s">
        <v>577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25">
      <c r="A16"/>
      <c r="B16" t="s">
        <v>562</v>
      </c>
      <c r="C16" t="s">
        <v>578</v>
      </c>
      <c r="D16" t="s">
        <v>579</v>
      </c>
      <c r="E16" t="s">
        <v>91</v>
      </c>
      <c r="F16">
        <v>4</v>
      </c>
      <c r="G16">
        <v>0</v>
      </c>
      <c r="H16" t="s">
        <v>519</v>
      </c>
      <c r="I16" t="s">
        <v>513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/>
      <c r="B17" t="s">
        <v>562</v>
      </c>
      <c r="C17" t="s">
        <v>580</v>
      </c>
      <c r="D17" t="s">
        <v>11</v>
      </c>
      <c r="E17" t="s">
        <v>11</v>
      </c>
      <c r="F17">
        <v>1</v>
      </c>
      <c r="G17">
        <v>0</v>
      </c>
      <c r="H17" t="s">
        <v>519</v>
      </c>
      <c r="I17">
        <v>255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/>
      <c r="B18" t="s">
        <v>581</v>
      </c>
      <c r="C18" t="s">
        <v>582</v>
      </c>
      <c r="D18" t="s">
        <v>90</v>
      </c>
      <c r="E18" t="s">
        <v>90</v>
      </c>
      <c r="F18">
        <v>1</v>
      </c>
      <c r="G18">
        <v>0</v>
      </c>
      <c r="H18" t="s">
        <v>519</v>
      </c>
      <c r="I18">
        <v>999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/>
      <c r="B19" t="s">
        <v>581</v>
      </c>
      <c r="C19" t="s">
        <v>583</v>
      </c>
      <c r="D19" t="s">
        <v>567</v>
      </c>
      <c r="E19" t="s">
        <v>11</v>
      </c>
      <c r="F19">
        <v>5</v>
      </c>
      <c r="G19">
        <v>0</v>
      </c>
      <c r="H19" t="s">
        <v>519</v>
      </c>
      <c r="I19" t="s">
        <v>584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/>
      <c r="B20" t="s">
        <v>581</v>
      </c>
      <c r="C20" t="s">
        <v>585</v>
      </c>
      <c r="D20" t="s">
        <v>586</v>
      </c>
      <c r="E20" t="s">
        <v>91</v>
      </c>
      <c r="F20">
        <v>5</v>
      </c>
      <c r="G20">
        <v>0</v>
      </c>
      <c r="H20" t="s">
        <v>519</v>
      </c>
      <c r="I20" t="s">
        <v>587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/>
      <c r="B21" t="s">
        <v>588</v>
      </c>
      <c r="C21" t="s">
        <v>589</v>
      </c>
      <c r="D21" t="s">
        <v>590</v>
      </c>
      <c r="E21" t="s">
        <v>567</v>
      </c>
      <c r="F21">
        <v>5</v>
      </c>
      <c r="G21">
        <v>0</v>
      </c>
      <c r="H21" t="s">
        <v>519</v>
      </c>
      <c r="I21" t="s">
        <v>591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/>
      <c r="B22" t="s">
        <v>592</v>
      </c>
      <c r="C22" t="s">
        <v>593</v>
      </c>
      <c r="D22" t="s">
        <v>594</v>
      </c>
      <c r="E22" t="s">
        <v>595</v>
      </c>
      <c r="F22">
        <v>18</v>
      </c>
      <c r="G22">
        <v>0</v>
      </c>
      <c r="H22" t="s">
        <v>519</v>
      </c>
      <c r="I22" t="s">
        <v>596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/>
      <c r="B23" t="s">
        <v>597</v>
      </c>
      <c r="C23" t="s">
        <v>598</v>
      </c>
      <c r="D23" t="s">
        <v>555</v>
      </c>
      <c r="E23" t="s">
        <v>11</v>
      </c>
      <c r="F23">
        <v>4</v>
      </c>
      <c r="G23">
        <v>0</v>
      </c>
      <c r="H23" t="s">
        <v>519</v>
      </c>
      <c r="I23" t="s">
        <v>513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/>
      <c r="B24" t="s">
        <v>599</v>
      </c>
      <c r="C24" t="s">
        <v>600</v>
      </c>
      <c r="D24" t="s">
        <v>601</v>
      </c>
      <c r="E24" t="s">
        <v>570</v>
      </c>
      <c r="F24">
        <v>3</v>
      </c>
      <c r="G24">
        <v>0</v>
      </c>
      <c r="H24" t="s">
        <v>519</v>
      </c>
      <c r="I24" t="s">
        <v>602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/>
      <c r="B25" t="s">
        <v>603</v>
      </c>
      <c r="C25" t="s">
        <v>604</v>
      </c>
      <c r="D25" t="s">
        <v>605</v>
      </c>
      <c r="E25" t="s">
        <v>11</v>
      </c>
      <c r="F25">
        <v>1</v>
      </c>
      <c r="G25">
        <v>0</v>
      </c>
      <c r="H25" t="s">
        <v>519</v>
      </c>
      <c r="I25" t="s">
        <v>606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/>
      <c r="B26" t="s">
        <v>607</v>
      </c>
      <c r="C26" t="s">
        <v>608</v>
      </c>
      <c r="D26" t="s">
        <v>91</v>
      </c>
      <c r="E26" t="s">
        <v>91</v>
      </c>
      <c r="F26">
        <v>1</v>
      </c>
      <c r="G26">
        <v>0</v>
      </c>
      <c r="H26" t="s">
        <v>519</v>
      </c>
      <c r="I26">
        <v>395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/>
      <c r="B27" t="s">
        <v>609</v>
      </c>
      <c r="C27" t="s">
        <v>610</v>
      </c>
      <c r="D27" t="s">
        <v>11</v>
      </c>
      <c r="E27" t="s">
        <v>11</v>
      </c>
      <c r="F27">
        <v>1</v>
      </c>
      <c r="G27">
        <v>0</v>
      </c>
      <c r="H27" t="s">
        <v>519</v>
      </c>
      <c r="I27">
        <v>155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/>
      <c r="B28" t="s">
        <v>609</v>
      </c>
      <c r="C28" t="s">
        <v>611</v>
      </c>
      <c r="D28" t="s">
        <v>90</v>
      </c>
      <c r="E28" t="s">
        <v>90</v>
      </c>
      <c r="F28">
        <v>1</v>
      </c>
      <c r="G28">
        <v>0</v>
      </c>
      <c r="H28" t="s">
        <v>519</v>
      </c>
      <c r="I28">
        <v>0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/>
      <c r="B29" t="s">
        <v>609</v>
      </c>
      <c r="C29" t="s">
        <v>612</v>
      </c>
      <c r="D29" t="s">
        <v>91</v>
      </c>
      <c r="E29" t="s">
        <v>91</v>
      </c>
      <c r="F29">
        <v>1</v>
      </c>
      <c r="G29">
        <v>0</v>
      </c>
      <c r="H29" t="s">
        <v>519</v>
      </c>
      <c r="I29">
        <v>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/>
      <c r="B30" t="s">
        <v>609</v>
      </c>
      <c r="C30" t="s">
        <v>613</v>
      </c>
      <c r="D30" t="s">
        <v>91</v>
      </c>
      <c r="E30" t="s">
        <v>91</v>
      </c>
      <c r="F30">
        <v>1</v>
      </c>
      <c r="G30">
        <v>0</v>
      </c>
      <c r="H30" t="s">
        <v>519</v>
      </c>
      <c r="I30">
        <v>1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/>
      <c r="B31" t="s">
        <v>609</v>
      </c>
      <c r="C31" t="s">
        <v>614</v>
      </c>
      <c r="D31" t="s">
        <v>567</v>
      </c>
      <c r="E31" t="s">
        <v>11</v>
      </c>
      <c r="F31">
        <v>5</v>
      </c>
      <c r="G31">
        <v>0</v>
      </c>
      <c r="H31" t="s">
        <v>519</v>
      </c>
      <c r="I31" t="s">
        <v>587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/>
      <c r="B32" t="s">
        <v>609</v>
      </c>
      <c r="C32" t="s">
        <v>615</v>
      </c>
      <c r="D32" t="s">
        <v>573</v>
      </c>
      <c r="E32" t="s">
        <v>90</v>
      </c>
      <c r="F32">
        <v>24</v>
      </c>
      <c r="G32">
        <v>0</v>
      </c>
      <c r="H32" t="s">
        <v>519</v>
      </c>
      <c r="I32" t="s">
        <v>616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25">
      <c r="A33"/>
      <c r="B33" t="s">
        <v>609</v>
      </c>
      <c r="C33" t="s">
        <v>617</v>
      </c>
      <c r="D33" t="s">
        <v>594</v>
      </c>
      <c r="E33" t="s">
        <v>595</v>
      </c>
      <c r="F33">
        <v>18</v>
      </c>
      <c r="G33">
        <v>0</v>
      </c>
      <c r="H33" t="s">
        <v>519</v>
      </c>
      <c r="I33" t="s">
        <v>618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A34"/>
      <c r="B34" t="s">
        <v>609</v>
      </c>
      <c r="C34" t="s">
        <v>619</v>
      </c>
      <c r="D34" t="s">
        <v>555</v>
      </c>
      <c r="E34" t="s">
        <v>11</v>
      </c>
      <c r="F34">
        <v>4</v>
      </c>
      <c r="G34">
        <v>0</v>
      </c>
      <c r="H34" t="s">
        <v>519</v>
      </c>
      <c r="I34" t="s">
        <v>513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25">
      <c r="A35"/>
      <c r="B35" t="s">
        <v>609</v>
      </c>
      <c r="C35" t="s">
        <v>770</v>
      </c>
      <c r="D35" t="s">
        <v>90</v>
      </c>
      <c r="E35" t="s">
        <v>90</v>
      </c>
      <c r="F35">
        <v>1</v>
      </c>
      <c r="G35">
        <v>0</v>
      </c>
      <c r="H35" t="s">
        <v>519</v>
      </c>
      <c r="I35">
        <v>0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25">
      <c r="A36"/>
      <c r="B36" t="s">
        <v>609</v>
      </c>
      <c r="C36" t="s">
        <v>620</v>
      </c>
      <c r="D36" t="s">
        <v>91</v>
      </c>
      <c r="E36" t="s">
        <v>91</v>
      </c>
      <c r="F36">
        <v>1</v>
      </c>
      <c r="G36">
        <v>0</v>
      </c>
      <c r="H36" t="s">
        <v>519</v>
      </c>
      <c r="I36">
        <v>4294967295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25">
      <c r="A37"/>
      <c r="B37" t="s">
        <v>622</v>
      </c>
      <c r="C37" t="s">
        <v>621</v>
      </c>
      <c r="D37" t="s">
        <v>567</v>
      </c>
      <c r="E37" t="s">
        <v>11</v>
      </c>
      <c r="F37">
        <v>5</v>
      </c>
      <c r="G37">
        <v>0</v>
      </c>
      <c r="H37" t="s">
        <v>519</v>
      </c>
      <c r="I37" t="s">
        <v>624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25">
      <c r="A38"/>
      <c r="B38" t="s">
        <v>622</v>
      </c>
      <c r="C38" t="s">
        <v>623</v>
      </c>
      <c r="D38" t="s">
        <v>576</v>
      </c>
      <c r="E38" t="s">
        <v>90</v>
      </c>
      <c r="F38">
        <v>2</v>
      </c>
      <c r="G38">
        <v>0</v>
      </c>
      <c r="H38" t="s">
        <v>519</v>
      </c>
      <c r="I38" t="s">
        <v>577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25">
      <c r="A39"/>
      <c r="B39" t="s">
        <v>626</v>
      </c>
      <c r="C39" t="s">
        <v>625</v>
      </c>
      <c r="D39" t="s">
        <v>11</v>
      </c>
      <c r="E39" t="s">
        <v>11</v>
      </c>
      <c r="F39">
        <v>1</v>
      </c>
      <c r="G39">
        <v>0</v>
      </c>
      <c r="H39" t="s">
        <v>519</v>
      </c>
      <c r="I39">
        <v>0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25">
      <c r="A40"/>
      <c r="B40" t="s">
        <v>626</v>
      </c>
      <c r="C40" t="s">
        <v>627</v>
      </c>
      <c r="D40" t="s">
        <v>91</v>
      </c>
      <c r="E40" t="s">
        <v>91</v>
      </c>
      <c r="F40">
        <v>1</v>
      </c>
      <c r="G40">
        <v>0</v>
      </c>
      <c r="H40" t="s">
        <v>519</v>
      </c>
      <c r="I40">
        <v>4294967295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25">
      <c r="A41"/>
      <c r="B41" t="s">
        <v>626</v>
      </c>
      <c r="C41" t="s">
        <v>628</v>
      </c>
      <c r="D41" t="s">
        <v>90</v>
      </c>
      <c r="E41" t="s">
        <v>90</v>
      </c>
      <c r="F41">
        <v>1</v>
      </c>
      <c r="G41">
        <v>0</v>
      </c>
      <c r="H41" t="s">
        <v>519</v>
      </c>
      <c r="I41">
        <v>0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25">
      <c r="A42"/>
      <c r="B42" t="s">
        <v>771</v>
      </c>
      <c r="C42" t="s">
        <v>629</v>
      </c>
      <c r="D42" t="s">
        <v>632</v>
      </c>
      <c r="E42" t="s">
        <v>11</v>
      </c>
      <c r="F42">
        <v>1</v>
      </c>
      <c r="G42">
        <v>0</v>
      </c>
      <c r="H42" t="s">
        <v>519</v>
      </c>
      <c r="I42" t="s">
        <v>633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/>
      <c r="B43" t="s">
        <v>771</v>
      </c>
      <c r="C43" t="s">
        <v>772</v>
      </c>
      <c r="D43" t="s">
        <v>567</v>
      </c>
      <c r="E43" t="s">
        <v>11</v>
      </c>
      <c r="F43">
        <v>5</v>
      </c>
      <c r="G43">
        <v>0</v>
      </c>
      <c r="H43" t="s">
        <v>519</v>
      </c>
      <c r="I43" t="s">
        <v>587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B44" t="s">
        <v>771</v>
      </c>
      <c r="C44" t="s">
        <v>631</v>
      </c>
      <c r="D44" t="s">
        <v>594</v>
      </c>
      <c r="E44" t="s">
        <v>595</v>
      </c>
      <c r="F44">
        <v>18</v>
      </c>
      <c r="G44">
        <v>0</v>
      </c>
      <c r="H44" t="s">
        <v>519</v>
      </c>
      <c r="I44" t="s">
        <v>618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B45" t="s">
        <v>771</v>
      </c>
      <c r="C45" t="s">
        <v>634</v>
      </c>
      <c r="D45" t="s">
        <v>555</v>
      </c>
      <c r="E45" t="s">
        <v>11</v>
      </c>
      <c r="F45">
        <v>4</v>
      </c>
      <c r="G45">
        <v>0</v>
      </c>
      <c r="H45" t="s">
        <v>519</v>
      </c>
      <c r="I45" t="s">
        <v>513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B46" t="s">
        <v>771</v>
      </c>
      <c r="C46" t="s">
        <v>635</v>
      </c>
      <c r="D46" t="s">
        <v>601</v>
      </c>
      <c r="E46" t="s">
        <v>570</v>
      </c>
      <c r="F46">
        <v>3</v>
      </c>
      <c r="G46">
        <v>0</v>
      </c>
      <c r="H46" t="s">
        <v>519</v>
      </c>
      <c r="I46" t="s">
        <v>602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B47" t="s">
        <v>630</v>
      </c>
      <c r="C47" t="s">
        <v>636</v>
      </c>
      <c r="D47" t="s">
        <v>90</v>
      </c>
      <c r="E47" t="s">
        <v>90</v>
      </c>
      <c r="F47">
        <v>1</v>
      </c>
      <c r="G47">
        <v>0</v>
      </c>
      <c r="H47" t="s">
        <v>519</v>
      </c>
      <c r="I47">
        <v>65535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B48" t="s">
        <v>630</v>
      </c>
      <c r="C48" t="s">
        <v>637</v>
      </c>
      <c r="D48" t="s">
        <v>11</v>
      </c>
      <c r="E48" t="s">
        <v>11</v>
      </c>
      <c r="F48">
        <v>1</v>
      </c>
      <c r="G48">
        <v>0</v>
      </c>
      <c r="H48" t="s">
        <v>519</v>
      </c>
      <c r="I48">
        <v>1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B49" t="s">
        <v>630</v>
      </c>
      <c r="C49" t="s">
        <v>638</v>
      </c>
      <c r="D49" t="s">
        <v>567</v>
      </c>
      <c r="E49" t="s">
        <v>11</v>
      </c>
      <c r="F49">
        <v>5</v>
      </c>
      <c r="G49">
        <v>0</v>
      </c>
      <c r="H49" t="s">
        <v>519</v>
      </c>
      <c r="I49" t="s">
        <v>568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B50" t="s">
        <v>630</v>
      </c>
      <c r="C50" t="s">
        <v>639</v>
      </c>
      <c r="D50" t="s">
        <v>594</v>
      </c>
      <c r="E50" t="s">
        <v>595</v>
      </c>
      <c r="F50">
        <v>18</v>
      </c>
      <c r="G50">
        <v>0</v>
      </c>
      <c r="H50" t="s">
        <v>519</v>
      </c>
      <c r="I50" t="s">
        <v>596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B51" t="s">
        <v>630</v>
      </c>
      <c r="C51" t="s">
        <v>640</v>
      </c>
      <c r="D51" t="s">
        <v>601</v>
      </c>
      <c r="E51" t="s">
        <v>570</v>
      </c>
      <c r="F51">
        <v>3</v>
      </c>
      <c r="G51">
        <v>0</v>
      </c>
      <c r="H51" t="s">
        <v>519</v>
      </c>
      <c r="I51" t="s">
        <v>602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B52" t="s">
        <v>630</v>
      </c>
      <c r="C52" t="s">
        <v>641</v>
      </c>
      <c r="D52" t="s">
        <v>632</v>
      </c>
      <c r="E52" t="s">
        <v>11</v>
      </c>
      <c r="F52">
        <v>1</v>
      </c>
      <c r="G52">
        <v>0</v>
      </c>
      <c r="H52" t="s">
        <v>519</v>
      </c>
      <c r="I52" t="s">
        <v>633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B53" t="s">
        <v>630</v>
      </c>
      <c r="C53" t="s">
        <v>642</v>
      </c>
      <c r="D53" t="s">
        <v>567</v>
      </c>
      <c r="E53" t="s">
        <v>11</v>
      </c>
      <c r="F53">
        <v>5</v>
      </c>
      <c r="G53">
        <v>0</v>
      </c>
      <c r="H53" t="s">
        <v>519</v>
      </c>
      <c r="I53" t="s">
        <v>587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B54" t="s">
        <v>630</v>
      </c>
      <c r="C54" t="s">
        <v>643</v>
      </c>
      <c r="D54" t="s">
        <v>91</v>
      </c>
      <c r="E54" t="s">
        <v>91</v>
      </c>
      <c r="F54">
        <v>1</v>
      </c>
      <c r="G54">
        <v>0</v>
      </c>
      <c r="H54" t="s">
        <v>519</v>
      </c>
      <c r="I54">
        <v>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B55" t="s">
        <v>630</v>
      </c>
      <c r="C55" t="s">
        <v>644</v>
      </c>
      <c r="D55" t="s">
        <v>90</v>
      </c>
      <c r="E55" t="s">
        <v>90</v>
      </c>
      <c r="F55">
        <v>1</v>
      </c>
      <c r="G55">
        <v>0</v>
      </c>
      <c r="H55" t="s">
        <v>519</v>
      </c>
      <c r="I55">
        <v>65535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B56" t="s">
        <v>630</v>
      </c>
      <c r="C56" t="s">
        <v>645</v>
      </c>
      <c r="D56" t="s">
        <v>11</v>
      </c>
      <c r="E56" t="s">
        <v>11</v>
      </c>
      <c r="F56">
        <v>1</v>
      </c>
      <c r="G56">
        <v>0</v>
      </c>
      <c r="H56" t="s">
        <v>519</v>
      </c>
      <c r="I56">
        <v>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3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autoFilter ref="B8:H194"/>
  <mergeCells count="4">
    <mergeCell ref="H1:H2"/>
    <mergeCell ref="H3:H5"/>
    <mergeCell ref="I7:K7"/>
    <mergeCell ref="B1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21"/>
  <sheetViews>
    <sheetView workbookViewId="0">
      <selection activeCell="E30" sqref="E30"/>
    </sheetView>
  </sheetViews>
  <sheetFormatPr defaultRowHeight="15" x14ac:dyDescent="0.25"/>
  <cols>
    <col min="1" max="1" width="29" customWidth="1"/>
    <col min="2" max="2" width="43.42578125" customWidth="1"/>
    <col min="3" max="3" width="24.28515625" customWidth="1"/>
    <col min="4" max="4" width="31" customWidth="1"/>
    <col min="5" max="5" width="41" customWidth="1"/>
  </cols>
  <sheetData>
    <row r="1" spans="1:9" x14ac:dyDescent="0.25">
      <c r="A1" s="17" t="s">
        <v>31</v>
      </c>
      <c r="B1" s="18" t="s">
        <v>138</v>
      </c>
    </row>
    <row r="2" spans="1:9" ht="15.75" thickBot="1" x14ac:dyDescent="0.3">
      <c r="A2" s="19" t="s">
        <v>32</v>
      </c>
      <c r="B2" s="20">
        <v>80</v>
      </c>
    </row>
    <row r="4" spans="1:9" ht="15.75" thickBot="1" x14ac:dyDescent="0.3"/>
    <row r="5" spans="1:9" ht="15.75" thickBot="1" x14ac:dyDescent="0.3">
      <c r="A5" s="35" t="s">
        <v>35</v>
      </c>
      <c r="B5" s="22" t="s">
        <v>34</v>
      </c>
      <c r="C5" s="23" t="s">
        <v>28</v>
      </c>
      <c r="D5" s="23" t="s">
        <v>29</v>
      </c>
      <c r="E5" s="24" t="s">
        <v>30</v>
      </c>
      <c r="I5" t="s">
        <v>35</v>
      </c>
    </row>
    <row r="6" spans="1:9" x14ac:dyDescent="0.25">
      <c r="A6" t="s">
        <v>139</v>
      </c>
      <c r="B6" s="21" t="s">
        <v>131</v>
      </c>
      <c r="C6" s="21">
        <v>1</v>
      </c>
      <c r="D6" s="21" t="s">
        <v>33</v>
      </c>
      <c r="E6" s="21" t="s">
        <v>11</v>
      </c>
    </row>
    <row r="7" spans="1:9" x14ac:dyDescent="0.25">
      <c r="A7" t="s">
        <v>140</v>
      </c>
      <c r="B7" s="16" t="s">
        <v>132</v>
      </c>
      <c r="C7" s="21">
        <v>1</v>
      </c>
      <c r="D7" s="16" t="s">
        <v>33</v>
      </c>
      <c r="E7" s="16" t="s">
        <v>11</v>
      </c>
    </row>
    <row r="8" spans="1:9" x14ac:dyDescent="0.25">
      <c r="B8" s="16" t="s">
        <v>133</v>
      </c>
      <c r="C8" s="21">
        <v>1</v>
      </c>
      <c r="D8" s="16" t="s">
        <v>33</v>
      </c>
      <c r="E8" s="16" t="s">
        <v>11</v>
      </c>
    </row>
    <row r="9" spans="1:9" x14ac:dyDescent="0.25">
      <c r="A9" t="s">
        <v>137</v>
      </c>
      <c r="B9" s="16" t="s">
        <v>134</v>
      </c>
      <c r="C9" s="21">
        <v>1</v>
      </c>
      <c r="D9" s="16" t="s">
        <v>33</v>
      </c>
      <c r="E9" s="16" t="s">
        <v>11</v>
      </c>
    </row>
    <row r="10" spans="1:9" x14ac:dyDescent="0.25">
      <c r="A10" t="s">
        <v>141</v>
      </c>
      <c r="B10" s="16" t="s">
        <v>135</v>
      </c>
      <c r="C10" s="21">
        <v>1</v>
      </c>
      <c r="D10" s="16" t="s">
        <v>33</v>
      </c>
      <c r="E10" s="16" t="s">
        <v>11</v>
      </c>
    </row>
    <row r="11" spans="1:9" x14ac:dyDescent="0.25">
      <c r="A11" t="s">
        <v>142</v>
      </c>
      <c r="B11" s="16" t="s">
        <v>169</v>
      </c>
      <c r="C11" s="21">
        <v>1</v>
      </c>
      <c r="D11" s="16" t="s">
        <v>33</v>
      </c>
      <c r="E11" s="16" t="s">
        <v>11</v>
      </c>
    </row>
    <row r="12" spans="1:9" x14ac:dyDescent="0.25">
      <c r="A12" t="s">
        <v>143</v>
      </c>
      <c r="B12" s="16" t="s">
        <v>170</v>
      </c>
      <c r="C12" s="21">
        <v>1</v>
      </c>
      <c r="D12" s="16" t="s">
        <v>33</v>
      </c>
      <c r="E12" s="16" t="s">
        <v>11</v>
      </c>
    </row>
    <row r="13" spans="1:9" x14ac:dyDescent="0.25">
      <c r="A13" t="s">
        <v>144</v>
      </c>
      <c r="B13" s="16" t="s">
        <v>171</v>
      </c>
      <c r="C13" s="21">
        <v>1</v>
      </c>
      <c r="D13" s="16" t="s">
        <v>33</v>
      </c>
      <c r="E13" s="16" t="s">
        <v>11</v>
      </c>
    </row>
    <row r="14" spans="1:9" x14ac:dyDescent="0.25">
      <c r="A14" t="s">
        <v>145</v>
      </c>
      <c r="B14" s="16" t="s">
        <v>172</v>
      </c>
      <c r="C14" s="21">
        <v>1</v>
      </c>
      <c r="D14" s="16" t="s">
        <v>33</v>
      </c>
      <c r="E14" s="16" t="s">
        <v>11</v>
      </c>
    </row>
    <row r="15" spans="1:9" x14ac:dyDescent="0.25">
      <c r="A15" t="s">
        <v>146</v>
      </c>
      <c r="B15" s="16" t="s">
        <v>173</v>
      </c>
      <c r="C15" s="21">
        <v>1</v>
      </c>
      <c r="D15" s="16" t="s">
        <v>33</v>
      </c>
      <c r="E15" s="16" t="s">
        <v>11</v>
      </c>
    </row>
    <row r="16" spans="1:9" x14ac:dyDescent="0.25">
      <c r="A16" t="s">
        <v>147</v>
      </c>
      <c r="B16" s="16" t="s">
        <v>174</v>
      </c>
      <c r="C16" s="21">
        <v>1</v>
      </c>
      <c r="D16" s="16" t="s">
        <v>33</v>
      </c>
      <c r="E16" s="16" t="s">
        <v>11</v>
      </c>
    </row>
    <row r="17" spans="1:5" x14ac:dyDescent="0.25">
      <c r="A17" t="s">
        <v>148</v>
      </c>
      <c r="B17" s="16" t="s">
        <v>175</v>
      </c>
      <c r="C17" s="21">
        <v>1</v>
      </c>
      <c r="D17" s="16" t="s">
        <v>33</v>
      </c>
      <c r="E17" s="16" t="s">
        <v>11</v>
      </c>
    </row>
    <row r="18" spans="1:5" x14ac:dyDescent="0.25">
      <c r="A18" t="s">
        <v>149</v>
      </c>
      <c r="B18" s="16" t="s">
        <v>176</v>
      </c>
      <c r="C18" s="21">
        <v>1</v>
      </c>
      <c r="D18" s="16" t="s">
        <v>33</v>
      </c>
      <c r="E18" s="16" t="s">
        <v>11</v>
      </c>
    </row>
    <row r="19" spans="1:5" x14ac:dyDescent="0.25">
      <c r="A19" t="s">
        <v>150</v>
      </c>
      <c r="B19" s="16" t="s">
        <v>177</v>
      </c>
      <c r="C19" s="21">
        <v>1</v>
      </c>
      <c r="D19" s="16" t="s">
        <v>33</v>
      </c>
      <c r="E19" s="16" t="s">
        <v>11</v>
      </c>
    </row>
    <row r="20" spans="1:5" x14ac:dyDescent="0.25">
      <c r="A20" t="s">
        <v>151</v>
      </c>
      <c r="B20" s="16" t="s">
        <v>178</v>
      </c>
      <c r="C20" s="21">
        <v>1</v>
      </c>
      <c r="D20" s="16" t="s">
        <v>33</v>
      </c>
      <c r="E20" s="16" t="s">
        <v>11</v>
      </c>
    </row>
    <row r="21" spans="1:5" x14ac:dyDescent="0.25">
      <c r="A21" t="s">
        <v>152</v>
      </c>
      <c r="B21" s="16" t="s">
        <v>179</v>
      </c>
      <c r="C21" s="21">
        <v>1</v>
      </c>
      <c r="D21" s="16" t="s">
        <v>33</v>
      </c>
      <c r="E21" s="16" t="s">
        <v>11</v>
      </c>
    </row>
    <row r="22" spans="1:5" x14ac:dyDescent="0.25">
      <c r="A22" t="s">
        <v>153</v>
      </c>
      <c r="B22" s="16" t="s">
        <v>180</v>
      </c>
      <c r="C22" s="21">
        <v>1</v>
      </c>
      <c r="D22" s="16" t="s">
        <v>33</v>
      </c>
      <c r="E22" s="16" t="s">
        <v>11</v>
      </c>
    </row>
    <row r="23" spans="1:5" x14ac:dyDescent="0.25">
      <c r="A23" t="s">
        <v>154</v>
      </c>
      <c r="B23" s="16" t="s">
        <v>181</v>
      </c>
      <c r="C23" s="21">
        <v>1</v>
      </c>
      <c r="D23" s="16" t="s">
        <v>33</v>
      </c>
      <c r="E23" s="16" t="s">
        <v>11</v>
      </c>
    </row>
    <row r="24" spans="1:5" x14ac:dyDescent="0.25">
      <c r="A24" t="s">
        <v>155</v>
      </c>
      <c r="B24" s="16" t="s">
        <v>182</v>
      </c>
      <c r="C24" s="21">
        <v>1</v>
      </c>
      <c r="D24" s="16" t="s">
        <v>33</v>
      </c>
      <c r="E24" s="16" t="s">
        <v>11</v>
      </c>
    </row>
    <row r="25" spans="1:5" x14ac:dyDescent="0.25">
      <c r="A25" t="s">
        <v>156</v>
      </c>
      <c r="B25" s="16" t="s">
        <v>183</v>
      </c>
      <c r="C25" s="21">
        <v>1</v>
      </c>
      <c r="D25" s="16" t="s">
        <v>33</v>
      </c>
      <c r="E25" s="16" t="s">
        <v>11</v>
      </c>
    </row>
    <row r="26" spans="1:5" x14ac:dyDescent="0.25">
      <c r="A26" t="s">
        <v>157</v>
      </c>
      <c r="B26" t="s">
        <v>184</v>
      </c>
      <c r="C26" s="21">
        <v>1</v>
      </c>
      <c r="D26" t="s">
        <v>33</v>
      </c>
      <c r="E26" t="s">
        <v>11</v>
      </c>
    </row>
    <row r="27" spans="1:5" x14ac:dyDescent="0.25">
      <c r="A27" t="s">
        <v>443</v>
      </c>
      <c r="B27" t="s">
        <v>185</v>
      </c>
      <c r="C27" s="21">
        <v>1</v>
      </c>
      <c r="D27" t="s">
        <v>33</v>
      </c>
      <c r="E27" t="s">
        <v>11</v>
      </c>
    </row>
    <row r="28" spans="1:5" x14ac:dyDescent="0.25">
      <c r="A28" t="s">
        <v>158</v>
      </c>
      <c r="B28" t="s">
        <v>186</v>
      </c>
      <c r="C28" s="21">
        <v>1</v>
      </c>
      <c r="D28" t="s">
        <v>33</v>
      </c>
      <c r="E28" t="s">
        <v>11</v>
      </c>
    </row>
    <row r="29" spans="1:5" x14ac:dyDescent="0.25">
      <c r="A29" t="s">
        <v>159</v>
      </c>
      <c r="B29" t="s">
        <v>187</v>
      </c>
      <c r="C29" s="21">
        <v>1</v>
      </c>
      <c r="D29" t="s">
        <v>33</v>
      </c>
      <c r="E29" t="s">
        <v>11</v>
      </c>
    </row>
    <row r="30" spans="1:5" x14ac:dyDescent="0.25">
      <c r="A30" t="s">
        <v>160</v>
      </c>
      <c r="B30" t="s">
        <v>188</v>
      </c>
      <c r="C30" s="21">
        <v>1</v>
      </c>
      <c r="D30" t="s">
        <v>33</v>
      </c>
      <c r="E30" t="s">
        <v>11</v>
      </c>
    </row>
    <row r="31" spans="1:5" x14ac:dyDescent="0.25">
      <c r="A31" t="s">
        <v>161</v>
      </c>
      <c r="B31" t="s">
        <v>189</v>
      </c>
      <c r="C31" s="21">
        <v>1</v>
      </c>
      <c r="D31" t="s">
        <v>33</v>
      </c>
      <c r="E31" t="s">
        <v>11</v>
      </c>
    </row>
    <row r="32" spans="1:5" x14ac:dyDescent="0.25">
      <c r="A32" t="s">
        <v>162</v>
      </c>
      <c r="B32" t="s">
        <v>190</v>
      </c>
      <c r="C32" s="21">
        <v>1</v>
      </c>
      <c r="D32" t="s">
        <v>33</v>
      </c>
      <c r="E32" t="s">
        <v>11</v>
      </c>
    </row>
    <row r="33" spans="1:5" x14ac:dyDescent="0.25">
      <c r="A33" t="s">
        <v>163</v>
      </c>
      <c r="B33" t="s">
        <v>191</v>
      </c>
      <c r="C33" s="21">
        <v>1</v>
      </c>
      <c r="D33" t="s">
        <v>33</v>
      </c>
      <c r="E33" t="s">
        <v>11</v>
      </c>
    </row>
    <row r="34" spans="1:5" x14ac:dyDescent="0.25">
      <c r="A34" t="s">
        <v>164</v>
      </c>
      <c r="B34" t="s">
        <v>192</v>
      </c>
      <c r="C34" s="21">
        <v>1</v>
      </c>
      <c r="D34" t="s">
        <v>33</v>
      </c>
      <c r="E34" t="s">
        <v>11</v>
      </c>
    </row>
    <row r="35" spans="1:5" x14ac:dyDescent="0.25">
      <c r="A35" t="s">
        <v>165</v>
      </c>
      <c r="B35" t="s">
        <v>193</v>
      </c>
      <c r="C35" s="21">
        <v>1</v>
      </c>
      <c r="D35" t="s">
        <v>33</v>
      </c>
      <c r="E35" t="s">
        <v>11</v>
      </c>
    </row>
    <row r="36" spans="1:5" x14ac:dyDescent="0.25">
      <c r="A36" t="s">
        <v>166</v>
      </c>
      <c r="B36" t="s">
        <v>194</v>
      </c>
      <c r="C36" s="21">
        <v>1</v>
      </c>
      <c r="D36" t="s">
        <v>33</v>
      </c>
      <c r="E36" t="s">
        <v>11</v>
      </c>
    </row>
    <row r="37" spans="1:5" x14ac:dyDescent="0.25">
      <c r="A37" t="s">
        <v>167</v>
      </c>
      <c r="B37" t="s">
        <v>195</v>
      </c>
      <c r="C37" s="21">
        <v>1</v>
      </c>
      <c r="D37" t="s">
        <v>33</v>
      </c>
      <c r="E37" t="s">
        <v>11</v>
      </c>
    </row>
    <row r="38" spans="1:5" x14ac:dyDescent="0.25">
      <c r="A38" t="s">
        <v>168</v>
      </c>
      <c r="B38" t="s">
        <v>196</v>
      </c>
      <c r="C38" s="21">
        <v>1</v>
      </c>
      <c r="D38" t="s">
        <v>33</v>
      </c>
      <c r="E38" t="s">
        <v>11</v>
      </c>
    </row>
    <row r="39" spans="1:5" x14ac:dyDescent="0.25">
      <c r="B39" t="s">
        <v>197</v>
      </c>
      <c r="C39" s="21">
        <v>1</v>
      </c>
      <c r="D39" t="s">
        <v>33</v>
      </c>
      <c r="E39" t="s">
        <v>11</v>
      </c>
    </row>
    <row r="40" spans="1:5" x14ac:dyDescent="0.25">
      <c r="B40" t="s">
        <v>198</v>
      </c>
      <c r="C40" s="21">
        <v>1</v>
      </c>
      <c r="D40" t="s">
        <v>33</v>
      </c>
      <c r="E40" t="s">
        <v>11</v>
      </c>
    </row>
    <row r="41" spans="1:5" x14ac:dyDescent="0.25">
      <c r="B41" t="s">
        <v>199</v>
      </c>
      <c r="C41" s="21">
        <v>1</v>
      </c>
      <c r="D41" t="s">
        <v>33</v>
      </c>
      <c r="E41" t="s">
        <v>11</v>
      </c>
    </row>
    <row r="42" spans="1:5" x14ac:dyDescent="0.25">
      <c r="B42" t="s">
        <v>200</v>
      </c>
      <c r="C42" s="21">
        <v>1</v>
      </c>
      <c r="D42" t="s">
        <v>33</v>
      </c>
      <c r="E42" t="s">
        <v>11</v>
      </c>
    </row>
    <row r="43" spans="1:5" x14ac:dyDescent="0.25">
      <c r="B43" t="s">
        <v>201</v>
      </c>
      <c r="C43" s="21">
        <v>1</v>
      </c>
      <c r="D43" t="s">
        <v>33</v>
      </c>
      <c r="E43" t="s">
        <v>11</v>
      </c>
    </row>
    <row r="44" spans="1:5" x14ac:dyDescent="0.25">
      <c r="B44" t="s">
        <v>202</v>
      </c>
      <c r="C44" s="21">
        <v>1</v>
      </c>
      <c r="D44" t="s">
        <v>33</v>
      </c>
      <c r="E44" t="s">
        <v>11</v>
      </c>
    </row>
    <row r="45" spans="1:5" x14ac:dyDescent="0.25">
      <c r="B45" t="s">
        <v>203</v>
      </c>
      <c r="C45" s="21">
        <v>1</v>
      </c>
      <c r="D45" t="s">
        <v>33</v>
      </c>
      <c r="E45" t="s">
        <v>11</v>
      </c>
    </row>
    <row r="46" spans="1:5" x14ac:dyDescent="0.25">
      <c r="B46" t="s">
        <v>204</v>
      </c>
      <c r="C46" s="21">
        <v>1</v>
      </c>
      <c r="D46" t="s">
        <v>33</v>
      </c>
      <c r="E46" t="s">
        <v>11</v>
      </c>
    </row>
    <row r="47" spans="1:5" x14ac:dyDescent="0.25">
      <c r="B47" t="s">
        <v>205</v>
      </c>
      <c r="C47" s="21">
        <v>1</v>
      </c>
      <c r="D47" t="s">
        <v>33</v>
      </c>
      <c r="E47" t="s">
        <v>11</v>
      </c>
    </row>
    <row r="48" spans="1:5" x14ac:dyDescent="0.25">
      <c r="B48" t="s">
        <v>206</v>
      </c>
      <c r="C48" s="21">
        <v>1</v>
      </c>
      <c r="D48" t="s">
        <v>33</v>
      </c>
      <c r="E48" t="s">
        <v>11</v>
      </c>
    </row>
    <row r="49" spans="2:5" x14ac:dyDescent="0.25">
      <c r="B49" t="s">
        <v>207</v>
      </c>
      <c r="C49" s="21">
        <v>1</v>
      </c>
      <c r="D49" t="s">
        <v>33</v>
      </c>
      <c r="E49" t="s">
        <v>11</v>
      </c>
    </row>
    <row r="50" spans="2:5" x14ac:dyDescent="0.25">
      <c r="B50" t="s">
        <v>208</v>
      </c>
      <c r="C50" s="21">
        <v>1</v>
      </c>
      <c r="D50" t="s">
        <v>33</v>
      </c>
      <c r="E50" t="s">
        <v>11</v>
      </c>
    </row>
    <row r="51" spans="2:5" x14ac:dyDescent="0.25">
      <c r="B51" t="s">
        <v>209</v>
      </c>
      <c r="C51" s="21">
        <v>1</v>
      </c>
      <c r="D51" t="s">
        <v>33</v>
      </c>
      <c r="E51" t="s">
        <v>11</v>
      </c>
    </row>
    <row r="52" spans="2:5" x14ac:dyDescent="0.25">
      <c r="B52" t="s">
        <v>210</v>
      </c>
      <c r="C52" s="21">
        <v>1</v>
      </c>
      <c r="D52" t="s">
        <v>33</v>
      </c>
      <c r="E52" t="s">
        <v>11</v>
      </c>
    </row>
    <row r="53" spans="2:5" x14ac:dyDescent="0.25">
      <c r="B53" t="s">
        <v>211</v>
      </c>
      <c r="C53" s="21">
        <v>1</v>
      </c>
      <c r="D53" t="s">
        <v>33</v>
      </c>
      <c r="E53" t="s">
        <v>11</v>
      </c>
    </row>
    <row r="54" spans="2:5" x14ac:dyDescent="0.25">
      <c r="B54" t="s">
        <v>212</v>
      </c>
      <c r="C54" s="21">
        <v>1</v>
      </c>
      <c r="D54" t="s">
        <v>33</v>
      </c>
      <c r="E54" t="s">
        <v>11</v>
      </c>
    </row>
    <row r="55" spans="2:5" x14ac:dyDescent="0.25">
      <c r="B55" t="s">
        <v>213</v>
      </c>
      <c r="C55" s="21">
        <v>1</v>
      </c>
      <c r="D55" t="s">
        <v>33</v>
      </c>
      <c r="E55" t="s">
        <v>11</v>
      </c>
    </row>
    <row r="56" spans="2:5" x14ac:dyDescent="0.25">
      <c r="B56" t="s">
        <v>214</v>
      </c>
      <c r="C56" s="21">
        <v>1</v>
      </c>
      <c r="D56" t="s">
        <v>33</v>
      </c>
      <c r="E56" t="s">
        <v>11</v>
      </c>
    </row>
    <row r="57" spans="2:5" x14ac:dyDescent="0.25">
      <c r="B57" t="s">
        <v>215</v>
      </c>
      <c r="C57" s="21">
        <v>1</v>
      </c>
      <c r="D57" t="s">
        <v>33</v>
      </c>
      <c r="E57" t="s">
        <v>11</v>
      </c>
    </row>
    <row r="58" spans="2:5" x14ac:dyDescent="0.25">
      <c r="B58" t="s">
        <v>216</v>
      </c>
      <c r="C58" s="21">
        <v>1</v>
      </c>
      <c r="D58" t="s">
        <v>33</v>
      </c>
      <c r="E58" t="s">
        <v>11</v>
      </c>
    </row>
    <row r="59" spans="2:5" x14ac:dyDescent="0.25">
      <c r="B59" t="s">
        <v>217</v>
      </c>
      <c r="C59" s="21">
        <v>1</v>
      </c>
      <c r="D59" t="s">
        <v>33</v>
      </c>
      <c r="E59" t="s">
        <v>11</v>
      </c>
    </row>
    <row r="60" spans="2:5" x14ac:dyDescent="0.25">
      <c r="B60" t="s">
        <v>218</v>
      </c>
      <c r="C60" s="21">
        <v>1</v>
      </c>
      <c r="D60" t="s">
        <v>33</v>
      </c>
      <c r="E60" t="s">
        <v>11</v>
      </c>
    </row>
    <row r="61" spans="2:5" x14ac:dyDescent="0.25">
      <c r="B61" t="s">
        <v>219</v>
      </c>
      <c r="C61" s="21">
        <v>1</v>
      </c>
      <c r="D61" t="s">
        <v>33</v>
      </c>
      <c r="E61" t="s">
        <v>11</v>
      </c>
    </row>
    <row r="62" spans="2:5" x14ac:dyDescent="0.25">
      <c r="B62" t="s">
        <v>220</v>
      </c>
      <c r="C62" s="21">
        <v>1</v>
      </c>
      <c r="D62" t="s">
        <v>33</v>
      </c>
      <c r="E62" t="s">
        <v>11</v>
      </c>
    </row>
    <row r="63" spans="2:5" x14ac:dyDescent="0.25">
      <c r="B63" t="s">
        <v>221</v>
      </c>
      <c r="C63" s="21">
        <v>1</v>
      </c>
      <c r="D63" t="s">
        <v>33</v>
      </c>
      <c r="E63" t="s">
        <v>11</v>
      </c>
    </row>
    <row r="64" spans="2:5" x14ac:dyDescent="0.25">
      <c r="B64" t="s">
        <v>222</v>
      </c>
      <c r="C64" s="21">
        <v>1</v>
      </c>
      <c r="D64" t="s">
        <v>33</v>
      </c>
      <c r="E64" t="s">
        <v>11</v>
      </c>
    </row>
    <row r="65" spans="2:5" x14ac:dyDescent="0.25">
      <c r="B65" t="s">
        <v>223</v>
      </c>
      <c r="C65" s="21">
        <v>1</v>
      </c>
      <c r="D65" t="s">
        <v>33</v>
      </c>
      <c r="E65" t="s">
        <v>11</v>
      </c>
    </row>
    <row r="66" spans="2:5" x14ac:dyDescent="0.25">
      <c r="B66" t="s">
        <v>224</v>
      </c>
      <c r="C66" s="21">
        <v>1</v>
      </c>
      <c r="D66" t="s">
        <v>33</v>
      </c>
      <c r="E66" t="s">
        <v>11</v>
      </c>
    </row>
    <row r="67" spans="2:5" x14ac:dyDescent="0.25">
      <c r="B67" t="s">
        <v>225</v>
      </c>
      <c r="C67" s="21">
        <v>1</v>
      </c>
      <c r="D67" t="s">
        <v>33</v>
      </c>
      <c r="E67" t="s">
        <v>11</v>
      </c>
    </row>
    <row r="68" spans="2:5" x14ac:dyDescent="0.25">
      <c r="B68" t="s">
        <v>226</v>
      </c>
      <c r="C68" s="21">
        <v>1</v>
      </c>
      <c r="D68" t="s">
        <v>33</v>
      </c>
      <c r="E68" t="s">
        <v>11</v>
      </c>
    </row>
    <row r="69" spans="2:5" x14ac:dyDescent="0.25">
      <c r="B69" t="s">
        <v>227</v>
      </c>
      <c r="C69" s="21">
        <v>1</v>
      </c>
      <c r="D69" t="s">
        <v>33</v>
      </c>
      <c r="E69" t="s">
        <v>11</v>
      </c>
    </row>
    <row r="70" spans="2:5" x14ac:dyDescent="0.25">
      <c r="B70" t="s">
        <v>228</v>
      </c>
      <c r="C70" s="21">
        <v>1</v>
      </c>
      <c r="D70" t="s">
        <v>33</v>
      </c>
      <c r="E70" t="s">
        <v>11</v>
      </c>
    </row>
    <row r="71" spans="2:5" x14ac:dyDescent="0.25">
      <c r="B71" t="s">
        <v>229</v>
      </c>
      <c r="C71" s="21">
        <v>1</v>
      </c>
      <c r="D71" t="s">
        <v>33</v>
      </c>
      <c r="E71" t="s">
        <v>11</v>
      </c>
    </row>
    <row r="72" spans="2:5" x14ac:dyDescent="0.25">
      <c r="B72" t="s">
        <v>230</v>
      </c>
      <c r="C72" s="21">
        <v>1</v>
      </c>
      <c r="D72" t="s">
        <v>33</v>
      </c>
      <c r="E72" t="s">
        <v>11</v>
      </c>
    </row>
    <row r="73" spans="2:5" x14ac:dyDescent="0.25">
      <c r="B73" t="s">
        <v>231</v>
      </c>
      <c r="C73" s="21">
        <v>1</v>
      </c>
      <c r="D73" t="s">
        <v>33</v>
      </c>
      <c r="E73" t="s">
        <v>11</v>
      </c>
    </row>
    <row r="74" spans="2:5" x14ac:dyDescent="0.25">
      <c r="B74" t="s">
        <v>232</v>
      </c>
      <c r="C74" s="21">
        <v>1</v>
      </c>
      <c r="D74" t="s">
        <v>33</v>
      </c>
      <c r="E74" t="s">
        <v>11</v>
      </c>
    </row>
    <row r="75" spans="2:5" x14ac:dyDescent="0.25">
      <c r="B75" t="s">
        <v>233</v>
      </c>
      <c r="C75" s="21">
        <v>1</v>
      </c>
      <c r="D75" t="s">
        <v>33</v>
      </c>
      <c r="E75" t="s">
        <v>11</v>
      </c>
    </row>
    <row r="76" spans="2:5" x14ac:dyDescent="0.25">
      <c r="B76" t="s">
        <v>234</v>
      </c>
      <c r="C76" s="21">
        <v>1</v>
      </c>
      <c r="D76" t="s">
        <v>33</v>
      </c>
      <c r="E76" t="s">
        <v>11</v>
      </c>
    </row>
    <row r="77" spans="2:5" x14ac:dyDescent="0.25">
      <c r="B77" t="s">
        <v>235</v>
      </c>
      <c r="C77" s="21">
        <v>1</v>
      </c>
      <c r="D77" t="s">
        <v>33</v>
      </c>
      <c r="E77" t="s">
        <v>11</v>
      </c>
    </row>
    <row r="78" spans="2:5" x14ac:dyDescent="0.25">
      <c r="B78" t="s">
        <v>236</v>
      </c>
      <c r="C78" s="21">
        <v>1</v>
      </c>
      <c r="D78" t="s">
        <v>33</v>
      </c>
      <c r="E78" t="s">
        <v>11</v>
      </c>
    </row>
    <row r="79" spans="2:5" x14ac:dyDescent="0.25">
      <c r="B79" t="s">
        <v>237</v>
      </c>
      <c r="C79" s="21">
        <v>1</v>
      </c>
      <c r="D79" t="s">
        <v>33</v>
      </c>
      <c r="E79" t="s">
        <v>11</v>
      </c>
    </row>
    <row r="80" spans="2:5" x14ac:dyDescent="0.25">
      <c r="B80" t="s">
        <v>238</v>
      </c>
      <c r="C80" s="21">
        <v>1</v>
      </c>
      <c r="D80" t="s">
        <v>33</v>
      </c>
      <c r="E80" t="s">
        <v>11</v>
      </c>
    </row>
    <row r="81" spans="2:5" x14ac:dyDescent="0.25">
      <c r="B81" t="s">
        <v>239</v>
      </c>
      <c r="C81" s="21">
        <v>1</v>
      </c>
      <c r="D81" t="s">
        <v>33</v>
      </c>
      <c r="E81" t="s">
        <v>11</v>
      </c>
    </row>
    <row r="82" spans="2:5" x14ac:dyDescent="0.25">
      <c r="B82" t="s">
        <v>240</v>
      </c>
      <c r="C82" s="21">
        <v>1</v>
      </c>
      <c r="D82" t="s">
        <v>33</v>
      </c>
      <c r="E82" t="s">
        <v>11</v>
      </c>
    </row>
    <row r="83" spans="2:5" x14ac:dyDescent="0.25">
      <c r="B83" t="s">
        <v>241</v>
      </c>
      <c r="C83" s="21">
        <v>1</v>
      </c>
      <c r="D83" t="s">
        <v>33</v>
      </c>
      <c r="E83" t="s">
        <v>11</v>
      </c>
    </row>
    <row r="84" spans="2:5" x14ac:dyDescent="0.25">
      <c r="B84" t="s">
        <v>242</v>
      </c>
      <c r="C84" s="21">
        <v>1</v>
      </c>
      <c r="D84" t="s">
        <v>33</v>
      </c>
      <c r="E84" t="s">
        <v>11</v>
      </c>
    </row>
    <row r="85" spans="2:5" x14ac:dyDescent="0.25">
      <c r="B85" t="s">
        <v>243</v>
      </c>
      <c r="C85" s="21">
        <v>1</v>
      </c>
      <c r="D85" t="s">
        <v>33</v>
      </c>
      <c r="E85" t="s">
        <v>11</v>
      </c>
    </row>
    <row r="86" spans="2:5" x14ac:dyDescent="0.25">
      <c r="B86" t="s">
        <v>136</v>
      </c>
      <c r="C86" s="21">
        <v>1</v>
      </c>
      <c r="D86" t="s">
        <v>33</v>
      </c>
      <c r="E86" t="s">
        <v>11</v>
      </c>
    </row>
    <row r="87" spans="2:5" x14ac:dyDescent="0.25">
      <c r="B87" t="s">
        <v>244</v>
      </c>
      <c r="C87" s="21">
        <v>1</v>
      </c>
      <c r="D87" t="s">
        <v>33</v>
      </c>
      <c r="E87" t="s">
        <v>11</v>
      </c>
    </row>
    <row r="88" spans="2:5" x14ac:dyDescent="0.25">
      <c r="B88" t="s">
        <v>245</v>
      </c>
      <c r="C88" s="21">
        <v>1</v>
      </c>
      <c r="D88" t="s">
        <v>33</v>
      </c>
      <c r="E88" t="s">
        <v>11</v>
      </c>
    </row>
    <row r="89" spans="2:5" x14ac:dyDescent="0.25">
      <c r="B89" t="s">
        <v>246</v>
      </c>
      <c r="C89" s="21">
        <v>1</v>
      </c>
      <c r="D89" t="s">
        <v>33</v>
      </c>
      <c r="E89" t="s">
        <v>11</v>
      </c>
    </row>
    <row r="90" spans="2:5" x14ac:dyDescent="0.25">
      <c r="B90" t="s">
        <v>247</v>
      </c>
      <c r="C90" s="21">
        <v>1</v>
      </c>
      <c r="D90" t="s">
        <v>33</v>
      </c>
      <c r="E90" t="s">
        <v>11</v>
      </c>
    </row>
    <row r="91" spans="2:5" x14ac:dyDescent="0.25">
      <c r="B91" t="s">
        <v>248</v>
      </c>
      <c r="C91" s="21">
        <v>1</v>
      </c>
      <c r="D91" t="s">
        <v>33</v>
      </c>
      <c r="E91" t="s">
        <v>11</v>
      </c>
    </row>
    <row r="92" spans="2:5" x14ac:dyDescent="0.25">
      <c r="B92" t="s">
        <v>93</v>
      </c>
      <c r="C92" s="21">
        <v>1</v>
      </c>
      <c r="D92" t="s">
        <v>33</v>
      </c>
      <c r="E92" t="s">
        <v>91</v>
      </c>
    </row>
    <row r="93" spans="2:5" x14ac:dyDescent="0.25">
      <c r="B93" t="s">
        <v>94</v>
      </c>
      <c r="C93" s="21">
        <v>1</v>
      </c>
      <c r="D93" t="s">
        <v>33</v>
      </c>
      <c r="E93" t="s">
        <v>91</v>
      </c>
    </row>
    <row r="94" spans="2:5" x14ac:dyDescent="0.25">
      <c r="B94" t="s">
        <v>99</v>
      </c>
      <c r="C94" s="21">
        <v>1</v>
      </c>
      <c r="D94" t="s">
        <v>33</v>
      </c>
      <c r="E94" t="s">
        <v>91</v>
      </c>
    </row>
    <row r="95" spans="2:5" x14ac:dyDescent="0.25">
      <c r="B95" t="s">
        <v>100</v>
      </c>
      <c r="C95" s="21">
        <v>1</v>
      </c>
      <c r="D95" t="s">
        <v>33</v>
      </c>
      <c r="E95" t="s">
        <v>91</v>
      </c>
    </row>
    <row r="96" spans="2:5" x14ac:dyDescent="0.25">
      <c r="B96" t="s">
        <v>101</v>
      </c>
      <c r="C96" s="21">
        <v>1</v>
      </c>
      <c r="D96" t="s">
        <v>33</v>
      </c>
      <c r="E96" t="s">
        <v>91</v>
      </c>
    </row>
    <row r="97" spans="2:5" x14ac:dyDescent="0.25">
      <c r="B97" t="s">
        <v>102</v>
      </c>
      <c r="C97" s="21">
        <v>1</v>
      </c>
      <c r="D97" t="s">
        <v>33</v>
      </c>
      <c r="E97" t="s">
        <v>91</v>
      </c>
    </row>
    <row r="98" spans="2:5" x14ac:dyDescent="0.25">
      <c r="B98" t="s">
        <v>103</v>
      </c>
      <c r="C98" s="21">
        <v>1</v>
      </c>
      <c r="D98" t="s">
        <v>33</v>
      </c>
      <c r="E98" t="s">
        <v>91</v>
      </c>
    </row>
    <row r="99" spans="2:5" x14ac:dyDescent="0.25">
      <c r="B99" t="s">
        <v>104</v>
      </c>
      <c r="C99" s="21">
        <v>1</v>
      </c>
      <c r="D99" t="s">
        <v>33</v>
      </c>
      <c r="E99" t="s">
        <v>91</v>
      </c>
    </row>
    <row r="100" spans="2:5" x14ac:dyDescent="0.25">
      <c r="B100" t="s">
        <v>105</v>
      </c>
      <c r="C100" s="21">
        <v>1</v>
      </c>
      <c r="D100" t="s">
        <v>33</v>
      </c>
      <c r="E100" t="s">
        <v>91</v>
      </c>
    </row>
    <row r="101" spans="2:5" x14ac:dyDescent="0.25">
      <c r="B101" t="s">
        <v>106</v>
      </c>
      <c r="C101" s="21">
        <v>1</v>
      </c>
      <c r="D101" t="s">
        <v>33</v>
      </c>
      <c r="E101" t="s">
        <v>91</v>
      </c>
    </row>
    <row r="102" spans="2:5" x14ac:dyDescent="0.25">
      <c r="B102" t="s">
        <v>107</v>
      </c>
      <c r="C102" s="21">
        <v>1</v>
      </c>
      <c r="D102" t="s">
        <v>33</v>
      </c>
      <c r="E102" t="s">
        <v>91</v>
      </c>
    </row>
    <row r="103" spans="2:5" x14ac:dyDescent="0.25">
      <c r="B103" t="s">
        <v>108</v>
      </c>
      <c r="C103" s="21">
        <v>1</v>
      </c>
      <c r="D103" t="s">
        <v>33</v>
      </c>
      <c r="E103" t="s">
        <v>91</v>
      </c>
    </row>
    <row r="104" spans="2:5" x14ac:dyDescent="0.25">
      <c r="B104" t="s">
        <v>111</v>
      </c>
      <c r="C104" s="21">
        <v>1</v>
      </c>
      <c r="D104" t="s">
        <v>33</v>
      </c>
      <c r="E104" t="s">
        <v>91</v>
      </c>
    </row>
    <row r="105" spans="2:5" x14ac:dyDescent="0.25">
      <c r="B105" t="s">
        <v>112</v>
      </c>
      <c r="C105" s="21">
        <v>1</v>
      </c>
      <c r="D105" t="s">
        <v>33</v>
      </c>
      <c r="E105" t="s">
        <v>91</v>
      </c>
    </row>
    <row r="106" spans="2:5" x14ac:dyDescent="0.25">
      <c r="B106" t="s">
        <v>109</v>
      </c>
      <c r="C106" s="21">
        <v>1</v>
      </c>
      <c r="D106" t="s">
        <v>33</v>
      </c>
      <c r="E106" t="s">
        <v>91</v>
      </c>
    </row>
    <row r="107" spans="2:5" x14ac:dyDescent="0.25">
      <c r="B107" t="s">
        <v>110</v>
      </c>
      <c r="C107" s="21">
        <v>1</v>
      </c>
      <c r="D107" t="s">
        <v>33</v>
      </c>
      <c r="E107" t="s">
        <v>91</v>
      </c>
    </row>
    <row r="108" spans="2:5" x14ac:dyDescent="0.25">
      <c r="B108" t="s">
        <v>113</v>
      </c>
      <c r="C108" s="21">
        <v>1</v>
      </c>
      <c r="D108" t="s">
        <v>33</v>
      </c>
      <c r="E108" t="s">
        <v>91</v>
      </c>
    </row>
    <row r="109" spans="2:5" x14ac:dyDescent="0.25">
      <c r="B109" t="s">
        <v>114</v>
      </c>
      <c r="C109" s="21">
        <v>1</v>
      </c>
      <c r="D109" t="s">
        <v>33</v>
      </c>
      <c r="E109" t="s">
        <v>91</v>
      </c>
    </row>
    <row r="110" spans="2:5" x14ac:dyDescent="0.25">
      <c r="B110" t="s">
        <v>117</v>
      </c>
      <c r="C110" s="21">
        <v>1</v>
      </c>
      <c r="D110" t="s">
        <v>33</v>
      </c>
      <c r="E110" t="s">
        <v>91</v>
      </c>
    </row>
    <row r="111" spans="2:5" x14ac:dyDescent="0.25">
      <c r="B111" t="s">
        <v>118</v>
      </c>
      <c r="C111" s="21">
        <v>1</v>
      </c>
      <c r="D111" t="s">
        <v>33</v>
      </c>
      <c r="E111" t="s">
        <v>91</v>
      </c>
    </row>
    <row r="112" spans="2:5" x14ac:dyDescent="0.25">
      <c r="B112" t="s">
        <v>115</v>
      </c>
      <c r="C112" s="21">
        <v>1</v>
      </c>
      <c r="D112" t="s">
        <v>33</v>
      </c>
      <c r="E112" t="s">
        <v>91</v>
      </c>
    </row>
    <row r="113" spans="2:5" x14ac:dyDescent="0.25">
      <c r="B113" t="s">
        <v>116</v>
      </c>
      <c r="C113" s="21">
        <v>1</v>
      </c>
      <c r="D113" t="s">
        <v>33</v>
      </c>
      <c r="E113" t="s">
        <v>91</v>
      </c>
    </row>
    <row r="114" spans="2:5" x14ac:dyDescent="0.25">
      <c r="B114" t="s">
        <v>121</v>
      </c>
      <c r="C114" s="21">
        <v>1</v>
      </c>
      <c r="D114" t="s">
        <v>33</v>
      </c>
      <c r="E114" t="s">
        <v>91</v>
      </c>
    </row>
    <row r="115" spans="2:5" x14ac:dyDescent="0.25">
      <c r="B115" t="s">
        <v>122</v>
      </c>
      <c r="C115" s="21">
        <v>1</v>
      </c>
      <c r="D115" t="s">
        <v>33</v>
      </c>
      <c r="E115" t="s">
        <v>91</v>
      </c>
    </row>
    <row r="116" spans="2:5" x14ac:dyDescent="0.25">
      <c r="B116" t="s">
        <v>119</v>
      </c>
      <c r="C116" s="21">
        <v>1</v>
      </c>
      <c r="D116" t="s">
        <v>33</v>
      </c>
      <c r="E116" t="s">
        <v>91</v>
      </c>
    </row>
    <row r="117" spans="2:5" x14ac:dyDescent="0.25">
      <c r="B117" t="s">
        <v>120</v>
      </c>
      <c r="C117" s="21">
        <v>1</v>
      </c>
      <c r="D117" t="s">
        <v>33</v>
      </c>
      <c r="E117" t="s">
        <v>91</v>
      </c>
    </row>
    <row r="118" spans="2:5" x14ac:dyDescent="0.25">
      <c r="B118" t="s">
        <v>123</v>
      </c>
      <c r="C118" s="21">
        <v>1</v>
      </c>
      <c r="D118" t="s">
        <v>33</v>
      </c>
      <c r="E118" t="s">
        <v>91</v>
      </c>
    </row>
    <row r="119" spans="2:5" x14ac:dyDescent="0.25">
      <c r="B119" t="s">
        <v>124</v>
      </c>
      <c r="C119" s="21">
        <v>1</v>
      </c>
      <c r="D119" t="s">
        <v>33</v>
      </c>
      <c r="E119" t="s">
        <v>91</v>
      </c>
    </row>
    <row r="120" spans="2:5" x14ac:dyDescent="0.25">
      <c r="B120" t="s">
        <v>125</v>
      </c>
      <c r="C120" s="21">
        <v>1</v>
      </c>
      <c r="D120" t="s">
        <v>33</v>
      </c>
      <c r="E120" t="s">
        <v>91</v>
      </c>
    </row>
    <row r="121" spans="2:5" x14ac:dyDescent="0.25">
      <c r="B121" t="s">
        <v>126</v>
      </c>
      <c r="C121" s="21">
        <v>1</v>
      </c>
      <c r="D121" t="s">
        <v>33</v>
      </c>
      <c r="E121" t="s">
        <v>91</v>
      </c>
    </row>
    <row r="122" spans="2:5" x14ac:dyDescent="0.25">
      <c r="B122" t="s">
        <v>127</v>
      </c>
      <c r="C122" s="21">
        <v>1</v>
      </c>
      <c r="D122" t="s">
        <v>33</v>
      </c>
      <c r="E122" t="s">
        <v>91</v>
      </c>
    </row>
    <row r="123" spans="2:5" x14ac:dyDescent="0.25">
      <c r="B123" t="s">
        <v>128</v>
      </c>
      <c r="C123" s="21">
        <v>1</v>
      </c>
      <c r="D123" t="s">
        <v>33</v>
      </c>
      <c r="E123" t="s">
        <v>91</v>
      </c>
    </row>
    <row r="124" spans="2:5" x14ac:dyDescent="0.25">
      <c r="B124" t="s">
        <v>129</v>
      </c>
      <c r="C124" s="21">
        <v>1</v>
      </c>
      <c r="D124" t="s">
        <v>33</v>
      </c>
      <c r="E124" t="s">
        <v>91</v>
      </c>
    </row>
    <row r="125" spans="2:5" x14ac:dyDescent="0.25">
      <c r="B125" t="s">
        <v>130</v>
      </c>
      <c r="C125" s="21">
        <v>1</v>
      </c>
      <c r="D125" t="s">
        <v>33</v>
      </c>
      <c r="E125" t="s">
        <v>91</v>
      </c>
    </row>
    <row r="126" spans="2:5" x14ac:dyDescent="0.25">
      <c r="B126" t="s">
        <v>95</v>
      </c>
      <c r="C126" s="21">
        <v>1</v>
      </c>
      <c r="D126" t="s">
        <v>33</v>
      </c>
      <c r="E126" t="s">
        <v>91</v>
      </c>
    </row>
    <row r="127" spans="2:5" x14ac:dyDescent="0.25">
      <c r="B127" t="s">
        <v>96</v>
      </c>
      <c r="C127" s="21">
        <v>1</v>
      </c>
      <c r="D127" t="s">
        <v>33</v>
      </c>
      <c r="E127" t="s">
        <v>91</v>
      </c>
    </row>
    <row r="128" spans="2:5" x14ac:dyDescent="0.25">
      <c r="B128" t="s">
        <v>97</v>
      </c>
      <c r="C128" s="21">
        <v>1</v>
      </c>
      <c r="D128" t="s">
        <v>33</v>
      </c>
      <c r="E128" t="s">
        <v>91</v>
      </c>
    </row>
    <row r="129" spans="2:5" x14ac:dyDescent="0.25">
      <c r="B129" t="s">
        <v>98</v>
      </c>
      <c r="C129" s="21">
        <v>1</v>
      </c>
      <c r="D129" t="s">
        <v>33</v>
      </c>
      <c r="E129" t="s">
        <v>91</v>
      </c>
    </row>
    <row r="130" spans="2:5" x14ac:dyDescent="0.25">
      <c r="B130" t="s">
        <v>249</v>
      </c>
      <c r="C130" s="21">
        <v>1</v>
      </c>
      <c r="D130" t="s">
        <v>33</v>
      </c>
      <c r="E130" t="s">
        <v>285</v>
      </c>
    </row>
    <row r="131" spans="2:5" x14ac:dyDescent="0.25">
      <c r="B131" t="s">
        <v>250</v>
      </c>
      <c r="C131" s="21">
        <v>1</v>
      </c>
      <c r="D131" t="s">
        <v>33</v>
      </c>
      <c r="E131" t="s">
        <v>11</v>
      </c>
    </row>
    <row r="132" spans="2:5" x14ac:dyDescent="0.25">
      <c r="B132" t="s">
        <v>251</v>
      </c>
      <c r="C132" s="21">
        <v>1</v>
      </c>
      <c r="D132" t="s">
        <v>33</v>
      </c>
      <c r="E132" t="s">
        <v>11</v>
      </c>
    </row>
    <row r="133" spans="2:5" x14ac:dyDescent="0.25">
      <c r="B133" t="s">
        <v>252</v>
      </c>
      <c r="C133" s="21">
        <v>1</v>
      </c>
      <c r="D133" t="s">
        <v>33</v>
      </c>
      <c r="E133" t="s">
        <v>11</v>
      </c>
    </row>
    <row r="134" spans="2:5" x14ac:dyDescent="0.25">
      <c r="B134" t="s">
        <v>253</v>
      </c>
      <c r="C134" s="21">
        <v>1</v>
      </c>
      <c r="D134" t="s">
        <v>33</v>
      </c>
      <c r="E134" t="s">
        <v>11</v>
      </c>
    </row>
    <row r="135" spans="2:5" x14ac:dyDescent="0.25">
      <c r="B135" t="s">
        <v>254</v>
      </c>
      <c r="C135" s="21">
        <v>1</v>
      </c>
      <c r="D135" t="s">
        <v>33</v>
      </c>
      <c r="E135" t="s">
        <v>11</v>
      </c>
    </row>
    <row r="136" spans="2:5" x14ac:dyDescent="0.25">
      <c r="B136" t="s">
        <v>255</v>
      </c>
      <c r="C136" s="21">
        <v>1</v>
      </c>
      <c r="D136" t="s">
        <v>33</v>
      </c>
      <c r="E136" t="s">
        <v>11</v>
      </c>
    </row>
    <row r="137" spans="2:5" x14ac:dyDescent="0.25">
      <c r="B137" t="s">
        <v>256</v>
      </c>
      <c r="C137" s="21">
        <v>1</v>
      </c>
      <c r="D137" t="s">
        <v>33</v>
      </c>
      <c r="E137" t="s">
        <v>11</v>
      </c>
    </row>
    <row r="138" spans="2:5" x14ac:dyDescent="0.25">
      <c r="B138" t="s">
        <v>257</v>
      </c>
      <c r="C138" s="21">
        <v>1</v>
      </c>
      <c r="D138" t="s">
        <v>33</v>
      </c>
      <c r="E138" t="s">
        <v>258</v>
      </c>
    </row>
    <row r="139" spans="2:5" x14ac:dyDescent="0.25">
      <c r="B139" t="s">
        <v>259</v>
      </c>
      <c r="C139" s="21">
        <v>1</v>
      </c>
      <c r="D139" t="s">
        <v>33</v>
      </c>
      <c r="E139" t="s">
        <v>258</v>
      </c>
    </row>
    <row r="140" spans="2:5" x14ac:dyDescent="0.25">
      <c r="B140" t="s">
        <v>260</v>
      </c>
      <c r="C140" s="21">
        <v>1</v>
      </c>
      <c r="D140" t="s">
        <v>33</v>
      </c>
      <c r="E140" t="s">
        <v>90</v>
      </c>
    </row>
    <row r="141" spans="2:5" x14ac:dyDescent="0.25">
      <c r="B141" t="s">
        <v>261</v>
      </c>
      <c r="C141" s="21">
        <v>1</v>
      </c>
      <c r="D141" t="s">
        <v>33</v>
      </c>
      <c r="E141" t="s">
        <v>90</v>
      </c>
    </row>
    <row r="142" spans="2:5" x14ac:dyDescent="0.25">
      <c r="B142" t="s">
        <v>262</v>
      </c>
      <c r="C142" s="21">
        <v>1</v>
      </c>
      <c r="D142" t="s">
        <v>33</v>
      </c>
      <c r="E142" t="s">
        <v>90</v>
      </c>
    </row>
    <row r="143" spans="2:5" x14ac:dyDescent="0.25">
      <c r="B143" t="s">
        <v>263</v>
      </c>
      <c r="C143" s="21">
        <v>1</v>
      </c>
      <c r="D143" t="s">
        <v>33</v>
      </c>
      <c r="E143" t="s">
        <v>90</v>
      </c>
    </row>
    <row r="144" spans="2:5" x14ac:dyDescent="0.25">
      <c r="B144" t="s">
        <v>264</v>
      </c>
      <c r="C144" s="21">
        <v>1</v>
      </c>
      <c r="D144" t="s">
        <v>33</v>
      </c>
      <c r="E144" t="s">
        <v>90</v>
      </c>
    </row>
    <row r="145" spans="2:5" x14ac:dyDescent="0.25">
      <c r="B145" t="s">
        <v>265</v>
      </c>
      <c r="C145" s="21">
        <v>1</v>
      </c>
      <c r="D145" t="s">
        <v>33</v>
      </c>
      <c r="E145" t="s">
        <v>90</v>
      </c>
    </row>
    <row r="146" spans="2:5" x14ac:dyDescent="0.25">
      <c r="B146" t="s">
        <v>266</v>
      </c>
      <c r="C146" s="21">
        <v>1</v>
      </c>
      <c r="D146" t="s">
        <v>33</v>
      </c>
      <c r="E146" t="s">
        <v>11</v>
      </c>
    </row>
    <row r="147" spans="2:5" x14ac:dyDescent="0.25">
      <c r="B147" t="s">
        <v>267</v>
      </c>
      <c r="C147" s="21">
        <v>1</v>
      </c>
      <c r="D147" t="s">
        <v>33</v>
      </c>
      <c r="E147" t="s">
        <v>11</v>
      </c>
    </row>
    <row r="148" spans="2:5" x14ac:dyDescent="0.25">
      <c r="B148" t="s">
        <v>268</v>
      </c>
      <c r="C148" s="21">
        <v>1</v>
      </c>
      <c r="D148" t="s">
        <v>33</v>
      </c>
      <c r="E148" t="s">
        <v>11</v>
      </c>
    </row>
    <row r="149" spans="2:5" x14ac:dyDescent="0.25">
      <c r="B149" t="s">
        <v>269</v>
      </c>
      <c r="C149" s="21">
        <v>1</v>
      </c>
      <c r="D149" t="s">
        <v>33</v>
      </c>
      <c r="E149" t="s">
        <v>11</v>
      </c>
    </row>
    <row r="150" spans="2:5" x14ac:dyDescent="0.25">
      <c r="B150" t="s">
        <v>270</v>
      </c>
      <c r="C150" s="21">
        <v>1</v>
      </c>
      <c r="D150" t="s">
        <v>33</v>
      </c>
      <c r="E150" t="s">
        <v>90</v>
      </c>
    </row>
    <row r="151" spans="2:5" x14ac:dyDescent="0.25">
      <c r="B151" t="s">
        <v>271</v>
      </c>
      <c r="C151" s="21">
        <v>1</v>
      </c>
      <c r="D151" t="s">
        <v>33</v>
      </c>
      <c r="E151" t="s">
        <v>90</v>
      </c>
    </row>
    <row r="152" spans="2:5" x14ac:dyDescent="0.25">
      <c r="B152" t="s">
        <v>272</v>
      </c>
      <c r="C152" s="21">
        <v>1</v>
      </c>
      <c r="D152" t="s">
        <v>33</v>
      </c>
      <c r="E152" t="s">
        <v>90</v>
      </c>
    </row>
    <row r="153" spans="2:5" x14ac:dyDescent="0.25">
      <c r="B153" t="s">
        <v>273</v>
      </c>
      <c r="C153" s="21">
        <v>1</v>
      </c>
      <c r="D153" t="s">
        <v>33</v>
      </c>
      <c r="E153" t="s">
        <v>11</v>
      </c>
    </row>
    <row r="154" spans="2:5" x14ac:dyDescent="0.25">
      <c r="B154" t="s">
        <v>274</v>
      </c>
      <c r="C154" s="21">
        <v>1</v>
      </c>
      <c r="D154" t="s">
        <v>33</v>
      </c>
      <c r="E154" t="s">
        <v>11</v>
      </c>
    </row>
    <row r="155" spans="2:5" x14ac:dyDescent="0.25">
      <c r="B155" t="s">
        <v>275</v>
      </c>
      <c r="C155" s="21">
        <v>1</v>
      </c>
      <c r="D155" t="s">
        <v>33</v>
      </c>
      <c r="E155" t="s">
        <v>91</v>
      </c>
    </row>
    <row r="156" spans="2:5" x14ac:dyDescent="0.25">
      <c r="B156" t="s">
        <v>276</v>
      </c>
      <c r="C156" s="21">
        <v>1</v>
      </c>
      <c r="D156" t="s">
        <v>33</v>
      </c>
      <c r="E156" t="s">
        <v>91</v>
      </c>
    </row>
    <row r="157" spans="2:5" x14ac:dyDescent="0.25">
      <c r="B157" t="s">
        <v>277</v>
      </c>
      <c r="C157" s="21">
        <v>1</v>
      </c>
      <c r="D157" t="s">
        <v>33</v>
      </c>
      <c r="E157" t="s">
        <v>11</v>
      </c>
    </row>
    <row r="158" spans="2:5" x14ac:dyDescent="0.25">
      <c r="B158" t="s">
        <v>278</v>
      </c>
      <c r="C158" s="21">
        <v>1</v>
      </c>
      <c r="D158" t="s">
        <v>33</v>
      </c>
      <c r="E158" t="s">
        <v>11</v>
      </c>
    </row>
    <row r="159" spans="2:5" x14ac:dyDescent="0.25">
      <c r="B159" t="s">
        <v>279</v>
      </c>
      <c r="C159" s="21">
        <v>1</v>
      </c>
      <c r="D159" t="s">
        <v>33</v>
      </c>
      <c r="E159" t="s">
        <v>11</v>
      </c>
    </row>
    <row r="160" spans="2:5" x14ac:dyDescent="0.25">
      <c r="B160" t="s">
        <v>280</v>
      </c>
      <c r="C160" s="21">
        <v>1</v>
      </c>
      <c r="D160" t="s">
        <v>33</v>
      </c>
      <c r="E160" t="s">
        <v>11</v>
      </c>
    </row>
    <row r="161" spans="2:5" x14ac:dyDescent="0.25">
      <c r="B161" t="s">
        <v>281</v>
      </c>
      <c r="C161" s="21">
        <v>1</v>
      </c>
      <c r="D161" t="s">
        <v>33</v>
      </c>
      <c r="E161" t="s">
        <v>11</v>
      </c>
    </row>
    <row r="162" spans="2:5" x14ac:dyDescent="0.25">
      <c r="B162" t="s">
        <v>282</v>
      </c>
      <c r="C162" s="21">
        <v>1</v>
      </c>
      <c r="D162" t="s">
        <v>33</v>
      </c>
      <c r="E162" t="s">
        <v>11</v>
      </c>
    </row>
    <row r="163" spans="2:5" x14ac:dyDescent="0.25">
      <c r="B163" t="s">
        <v>283</v>
      </c>
      <c r="C163" s="21">
        <v>1</v>
      </c>
      <c r="D163" t="s">
        <v>33</v>
      </c>
      <c r="E163" t="s">
        <v>90</v>
      </c>
    </row>
    <row r="164" spans="2:5" x14ac:dyDescent="0.25">
      <c r="B164" t="s">
        <v>284</v>
      </c>
      <c r="C164" s="21">
        <v>1</v>
      </c>
      <c r="D164" t="s">
        <v>33</v>
      </c>
      <c r="E164" t="s">
        <v>11</v>
      </c>
    </row>
    <row r="165" spans="2:5" x14ac:dyDescent="0.25">
      <c r="B165" t="s">
        <v>286</v>
      </c>
      <c r="C165" s="21">
        <v>1</v>
      </c>
      <c r="D165" t="s">
        <v>33</v>
      </c>
      <c r="E165" t="s">
        <v>91</v>
      </c>
    </row>
    <row r="166" spans="2:5" x14ac:dyDescent="0.25">
      <c r="B166" t="s">
        <v>287</v>
      </c>
      <c r="C166" s="21">
        <v>1</v>
      </c>
      <c r="D166" t="s">
        <v>33</v>
      </c>
      <c r="E166" t="s">
        <v>285</v>
      </c>
    </row>
    <row r="167" spans="2:5" x14ac:dyDescent="0.25">
      <c r="B167" t="s">
        <v>288</v>
      </c>
      <c r="C167" s="21">
        <v>1</v>
      </c>
      <c r="D167" t="s">
        <v>33</v>
      </c>
      <c r="E167" t="s">
        <v>91</v>
      </c>
    </row>
    <row r="168" spans="2:5" x14ac:dyDescent="0.25">
      <c r="B168" t="s">
        <v>289</v>
      </c>
      <c r="C168" s="21">
        <v>1</v>
      </c>
      <c r="D168" t="s">
        <v>33</v>
      </c>
      <c r="E168" t="s">
        <v>285</v>
      </c>
    </row>
    <row r="169" spans="2:5" x14ac:dyDescent="0.25">
      <c r="B169" t="s">
        <v>290</v>
      </c>
      <c r="C169" s="21">
        <v>1</v>
      </c>
      <c r="D169" t="s">
        <v>33</v>
      </c>
      <c r="E169" t="s">
        <v>91</v>
      </c>
    </row>
    <row r="170" spans="2:5" x14ac:dyDescent="0.25">
      <c r="B170" t="s">
        <v>291</v>
      </c>
      <c r="C170" s="21">
        <v>1</v>
      </c>
      <c r="D170" t="s">
        <v>33</v>
      </c>
      <c r="E170" t="s">
        <v>91</v>
      </c>
    </row>
    <row r="171" spans="2:5" x14ac:dyDescent="0.25">
      <c r="B171" t="s">
        <v>292</v>
      </c>
      <c r="C171" s="21">
        <v>1</v>
      </c>
      <c r="D171" t="s">
        <v>33</v>
      </c>
      <c r="E171" t="s">
        <v>11</v>
      </c>
    </row>
    <row r="172" spans="2:5" x14ac:dyDescent="0.25">
      <c r="B172" t="s">
        <v>293</v>
      </c>
      <c r="C172" s="21">
        <v>1</v>
      </c>
      <c r="D172" t="s">
        <v>33</v>
      </c>
      <c r="E172" t="s">
        <v>11</v>
      </c>
    </row>
    <row r="173" spans="2:5" x14ac:dyDescent="0.25">
      <c r="B173" t="s">
        <v>294</v>
      </c>
      <c r="C173" s="21">
        <v>1</v>
      </c>
      <c r="D173" t="s">
        <v>33</v>
      </c>
      <c r="E173" t="s">
        <v>11</v>
      </c>
    </row>
    <row r="174" spans="2:5" x14ac:dyDescent="0.25">
      <c r="B174" t="s">
        <v>295</v>
      </c>
      <c r="C174" s="21">
        <v>1</v>
      </c>
      <c r="D174" t="s">
        <v>33</v>
      </c>
      <c r="E174" t="s">
        <v>11</v>
      </c>
    </row>
    <row r="175" spans="2:5" x14ac:dyDescent="0.25">
      <c r="B175" t="s">
        <v>296</v>
      </c>
      <c r="C175" s="21">
        <v>1</v>
      </c>
      <c r="D175" t="s">
        <v>33</v>
      </c>
      <c r="E175" t="s">
        <v>11</v>
      </c>
    </row>
    <row r="176" spans="2:5" x14ac:dyDescent="0.25">
      <c r="B176" t="s">
        <v>297</v>
      </c>
      <c r="C176" s="21">
        <v>1</v>
      </c>
      <c r="D176" t="s">
        <v>33</v>
      </c>
      <c r="E176" t="s">
        <v>90</v>
      </c>
    </row>
    <row r="177" spans="2:5" x14ac:dyDescent="0.25">
      <c r="B177" t="s">
        <v>298</v>
      </c>
      <c r="D177" t="s">
        <v>33</v>
      </c>
      <c r="E177" t="s">
        <v>90</v>
      </c>
    </row>
    <row r="178" spans="2:5" x14ac:dyDescent="0.25">
      <c r="B178" t="s">
        <v>299</v>
      </c>
      <c r="D178" t="s">
        <v>33</v>
      </c>
      <c r="E178" t="s">
        <v>90</v>
      </c>
    </row>
    <row r="179" spans="2:5" x14ac:dyDescent="0.25">
      <c r="B179" t="s">
        <v>300</v>
      </c>
      <c r="D179" t="s">
        <v>33</v>
      </c>
      <c r="E179" t="s">
        <v>90</v>
      </c>
    </row>
    <row r="180" spans="2:5" x14ac:dyDescent="0.25">
      <c r="B180" t="s">
        <v>301</v>
      </c>
      <c r="D180" t="s">
        <v>33</v>
      </c>
      <c r="E180" t="s">
        <v>90</v>
      </c>
    </row>
    <row r="181" spans="2:5" x14ac:dyDescent="0.25">
      <c r="B181" t="s">
        <v>302</v>
      </c>
      <c r="D181" t="s">
        <v>33</v>
      </c>
      <c r="E181" t="s">
        <v>90</v>
      </c>
    </row>
    <row r="182" spans="2:5" x14ac:dyDescent="0.25">
      <c r="B182" t="s">
        <v>303</v>
      </c>
      <c r="D182" t="s">
        <v>33</v>
      </c>
      <c r="E182" t="s">
        <v>90</v>
      </c>
    </row>
    <row r="183" spans="2:5" x14ac:dyDescent="0.25">
      <c r="B183" t="s">
        <v>304</v>
      </c>
      <c r="D183" t="s">
        <v>33</v>
      </c>
      <c r="E183" t="s">
        <v>11</v>
      </c>
    </row>
    <row r="184" spans="2:5" x14ac:dyDescent="0.25">
      <c r="B184" t="s">
        <v>305</v>
      </c>
      <c r="D184" t="s">
        <v>33</v>
      </c>
      <c r="E184" t="s">
        <v>11</v>
      </c>
    </row>
    <row r="185" spans="2:5" x14ac:dyDescent="0.25">
      <c r="B185" t="s">
        <v>306</v>
      </c>
      <c r="D185" t="s">
        <v>33</v>
      </c>
      <c r="E185" t="s">
        <v>11</v>
      </c>
    </row>
    <row r="186" spans="2:5" x14ac:dyDescent="0.25">
      <c r="B186" t="s">
        <v>307</v>
      </c>
      <c r="D186" t="s">
        <v>33</v>
      </c>
      <c r="E186" t="s">
        <v>91</v>
      </c>
    </row>
    <row r="187" spans="2:5" x14ac:dyDescent="0.25">
      <c r="B187" t="s">
        <v>308</v>
      </c>
      <c r="D187" t="s">
        <v>33</v>
      </c>
      <c r="E187" t="s">
        <v>91</v>
      </c>
    </row>
    <row r="188" spans="2:5" x14ac:dyDescent="0.25">
      <c r="B188" t="s">
        <v>309</v>
      </c>
      <c r="D188" t="s">
        <v>33</v>
      </c>
      <c r="E188" t="s">
        <v>91</v>
      </c>
    </row>
    <row r="189" spans="2:5" x14ac:dyDescent="0.25">
      <c r="B189" t="s">
        <v>310</v>
      </c>
      <c r="D189" t="s">
        <v>33</v>
      </c>
      <c r="E189" t="s">
        <v>11</v>
      </c>
    </row>
    <row r="190" spans="2:5" x14ac:dyDescent="0.25">
      <c r="B190" t="s">
        <v>311</v>
      </c>
      <c r="D190" t="s">
        <v>33</v>
      </c>
      <c r="E190" t="s">
        <v>11</v>
      </c>
    </row>
    <row r="191" spans="2:5" x14ac:dyDescent="0.25">
      <c r="B191" t="s">
        <v>312</v>
      </c>
      <c r="D191" t="s">
        <v>33</v>
      </c>
      <c r="E191" t="s">
        <v>11</v>
      </c>
    </row>
    <row r="192" spans="2:5" x14ac:dyDescent="0.25">
      <c r="B192" t="s">
        <v>313</v>
      </c>
      <c r="D192" t="s">
        <v>33</v>
      </c>
      <c r="E192" t="s">
        <v>11</v>
      </c>
    </row>
    <row r="193" spans="2:5" x14ac:dyDescent="0.25">
      <c r="B193" t="s">
        <v>314</v>
      </c>
      <c r="D193" t="s">
        <v>33</v>
      </c>
      <c r="E193" t="s">
        <v>11</v>
      </c>
    </row>
    <row r="194" spans="2:5" x14ac:dyDescent="0.25">
      <c r="B194" t="s">
        <v>315</v>
      </c>
      <c r="D194" t="s">
        <v>33</v>
      </c>
      <c r="E194" t="s">
        <v>11</v>
      </c>
    </row>
    <row r="195" spans="2:5" x14ac:dyDescent="0.25">
      <c r="B195" t="s">
        <v>316</v>
      </c>
      <c r="D195" t="s">
        <v>33</v>
      </c>
      <c r="E195" t="s">
        <v>11</v>
      </c>
    </row>
    <row r="196" spans="2:5" x14ac:dyDescent="0.25">
      <c r="B196" t="s">
        <v>317</v>
      </c>
      <c r="D196" t="s">
        <v>33</v>
      </c>
      <c r="E196" t="s">
        <v>11</v>
      </c>
    </row>
    <row r="197" spans="2:5" x14ac:dyDescent="0.25">
      <c r="B197" t="s">
        <v>318</v>
      </c>
      <c r="D197" t="s">
        <v>33</v>
      </c>
      <c r="E197" t="s">
        <v>11</v>
      </c>
    </row>
    <row r="198" spans="2:5" x14ac:dyDescent="0.25">
      <c r="B198" t="s">
        <v>319</v>
      </c>
      <c r="D198" t="s">
        <v>33</v>
      </c>
      <c r="E198" t="s">
        <v>11</v>
      </c>
    </row>
    <row r="199" spans="2:5" x14ac:dyDescent="0.25">
      <c r="B199" t="s">
        <v>320</v>
      </c>
      <c r="D199" t="s">
        <v>33</v>
      </c>
      <c r="E199" t="s">
        <v>11</v>
      </c>
    </row>
    <row r="200" spans="2:5" x14ac:dyDescent="0.25">
      <c r="B200" t="s">
        <v>321</v>
      </c>
      <c r="D200" t="s">
        <v>33</v>
      </c>
      <c r="E200" t="s">
        <v>11</v>
      </c>
    </row>
    <row r="201" spans="2:5" x14ac:dyDescent="0.25">
      <c r="B201" t="s">
        <v>322</v>
      </c>
      <c r="D201" t="s">
        <v>33</v>
      </c>
      <c r="E201" t="s">
        <v>11</v>
      </c>
    </row>
    <row r="202" spans="2:5" x14ac:dyDescent="0.25">
      <c r="B202" t="s">
        <v>323</v>
      </c>
      <c r="D202" t="s">
        <v>33</v>
      </c>
      <c r="E202" t="s">
        <v>11</v>
      </c>
    </row>
    <row r="203" spans="2:5" x14ac:dyDescent="0.25">
      <c r="B203" t="s">
        <v>324</v>
      </c>
      <c r="D203" t="s">
        <v>33</v>
      </c>
      <c r="E203" t="s">
        <v>11</v>
      </c>
    </row>
    <row r="204" spans="2:5" x14ac:dyDescent="0.25">
      <c r="B204" t="s">
        <v>325</v>
      </c>
      <c r="D204" t="s">
        <v>33</v>
      </c>
      <c r="E204" t="s">
        <v>11</v>
      </c>
    </row>
    <row r="205" spans="2:5" x14ac:dyDescent="0.25">
      <c r="B205" t="s">
        <v>326</v>
      </c>
      <c r="D205" t="s">
        <v>33</v>
      </c>
      <c r="E205" t="s">
        <v>11</v>
      </c>
    </row>
    <row r="206" spans="2:5" x14ac:dyDescent="0.25">
      <c r="B206" t="s">
        <v>327</v>
      </c>
      <c r="D206" t="s">
        <v>33</v>
      </c>
      <c r="E206" t="s">
        <v>11</v>
      </c>
    </row>
    <row r="207" spans="2:5" x14ac:dyDescent="0.25">
      <c r="B207" t="s">
        <v>328</v>
      </c>
      <c r="D207" t="s">
        <v>33</v>
      </c>
      <c r="E207" t="s">
        <v>11</v>
      </c>
    </row>
    <row r="208" spans="2:5" x14ac:dyDescent="0.25">
      <c r="B208" t="s">
        <v>329</v>
      </c>
      <c r="D208" t="s">
        <v>33</v>
      </c>
      <c r="E208" t="s">
        <v>11</v>
      </c>
    </row>
    <row r="209" spans="2:5" x14ac:dyDescent="0.25">
      <c r="B209" t="s">
        <v>330</v>
      </c>
      <c r="D209" t="s">
        <v>33</v>
      </c>
      <c r="E209" t="s">
        <v>11</v>
      </c>
    </row>
    <row r="210" spans="2:5" x14ac:dyDescent="0.25">
      <c r="B210" t="s">
        <v>331</v>
      </c>
      <c r="D210" t="s">
        <v>33</v>
      </c>
      <c r="E210" t="s">
        <v>11</v>
      </c>
    </row>
    <row r="211" spans="2:5" x14ac:dyDescent="0.25">
      <c r="B211" t="s">
        <v>332</v>
      </c>
      <c r="D211" t="s">
        <v>33</v>
      </c>
      <c r="E211" t="s">
        <v>11</v>
      </c>
    </row>
    <row r="212" spans="2:5" x14ac:dyDescent="0.25">
      <c r="B212" t="s">
        <v>333</v>
      </c>
      <c r="D212" t="s">
        <v>33</v>
      </c>
      <c r="E212" t="s">
        <v>11</v>
      </c>
    </row>
    <row r="213" spans="2:5" x14ac:dyDescent="0.25">
      <c r="B213" t="s">
        <v>334</v>
      </c>
      <c r="D213" t="s">
        <v>33</v>
      </c>
      <c r="E213" t="s">
        <v>11</v>
      </c>
    </row>
    <row r="214" spans="2:5" x14ac:dyDescent="0.25">
      <c r="B214" t="s">
        <v>335</v>
      </c>
      <c r="D214" t="s">
        <v>33</v>
      </c>
      <c r="E214" t="s">
        <v>91</v>
      </c>
    </row>
    <row r="215" spans="2:5" x14ac:dyDescent="0.25">
      <c r="B215" t="s">
        <v>336</v>
      </c>
      <c r="D215" t="s">
        <v>33</v>
      </c>
      <c r="E215" t="s">
        <v>91</v>
      </c>
    </row>
    <row r="216" spans="2:5" x14ac:dyDescent="0.25">
      <c r="B216" t="s">
        <v>337</v>
      </c>
      <c r="D216" t="s">
        <v>33</v>
      </c>
      <c r="E216" t="s">
        <v>11</v>
      </c>
    </row>
    <row r="217" spans="2:5" x14ac:dyDescent="0.25">
      <c r="B217" t="s">
        <v>338</v>
      </c>
      <c r="D217" t="s">
        <v>33</v>
      </c>
      <c r="E217" t="s">
        <v>91</v>
      </c>
    </row>
    <row r="218" spans="2:5" x14ac:dyDescent="0.25">
      <c r="B218" t="s">
        <v>339</v>
      </c>
      <c r="D218" t="s">
        <v>33</v>
      </c>
      <c r="E218" t="s">
        <v>258</v>
      </c>
    </row>
    <row r="219" spans="2:5" x14ac:dyDescent="0.25">
      <c r="B219" t="s">
        <v>340</v>
      </c>
      <c r="D219" t="s">
        <v>33</v>
      </c>
      <c r="E219" t="s">
        <v>11</v>
      </c>
    </row>
    <row r="220" spans="2:5" x14ac:dyDescent="0.25">
      <c r="B220" t="s">
        <v>341</v>
      </c>
      <c r="D220" t="s">
        <v>33</v>
      </c>
      <c r="E220" t="s">
        <v>11</v>
      </c>
    </row>
    <row r="221" spans="2:5" x14ac:dyDescent="0.25">
      <c r="B221" t="s">
        <v>342</v>
      </c>
      <c r="D221" t="s">
        <v>33</v>
      </c>
      <c r="E221" t="s">
        <v>11</v>
      </c>
    </row>
    <row r="222" spans="2:5" x14ac:dyDescent="0.25">
      <c r="B222" t="s">
        <v>343</v>
      </c>
      <c r="D222" t="s">
        <v>33</v>
      </c>
      <c r="E222" t="s">
        <v>11</v>
      </c>
    </row>
    <row r="223" spans="2:5" x14ac:dyDescent="0.25">
      <c r="B223" t="s">
        <v>344</v>
      </c>
      <c r="D223" t="s">
        <v>33</v>
      </c>
      <c r="E223" t="s">
        <v>11</v>
      </c>
    </row>
    <row r="224" spans="2:5" x14ac:dyDescent="0.25">
      <c r="B224" t="s">
        <v>345</v>
      </c>
      <c r="D224" t="s">
        <v>33</v>
      </c>
      <c r="E224" t="s">
        <v>91</v>
      </c>
    </row>
    <row r="225" spans="2:5" x14ac:dyDescent="0.25">
      <c r="B225" t="s">
        <v>346</v>
      </c>
      <c r="D225" t="s">
        <v>33</v>
      </c>
      <c r="E225" t="s">
        <v>11</v>
      </c>
    </row>
    <row r="226" spans="2:5" x14ac:dyDescent="0.25">
      <c r="B226" t="s">
        <v>347</v>
      </c>
      <c r="D226" t="s">
        <v>33</v>
      </c>
      <c r="E226" t="s">
        <v>11</v>
      </c>
    </row>
    <row r="227" spans="2:5" x14ac:dyDescent="0.25">
      <c r="B227" t="s">
        <v>348</v>
      </c>
      <c r="D227" t="s">
        <v>33</v>
      </c>
      <c r="E227" t="s">
        <v>285</v>
      </c>
    </row>
    <row r="228" spans="2:5" x14ac:dyDescent="0.25">
      <c r="B228" t="s">
        <v>349</v>
      </c>
      <c r="D228" t="s">
        <v>33</v>
      </c>
      <c r="E228" t="s">
        <v>91</v>
      </c>
    </row>
    <row r="229" spans="2:5" x14ac:dyDescent="0.25">
      <c r="B229" t="s">
        <v>350</v>
      </c>
      <c r="D229" t="s">
        <v>33</v>
      </c>
      <c r="E229" t="s">
        <v>91</v>
      </c>
    </row>
    <row r="230" spans="2:5" x14ac:dyDescent="0.25">
      <c r="B230" t="s">
        <v>351</v>
      </c>
      <c r="D230" t="s">
        <v>33</v>
      </c>
      <c r="E230" t="s">
        <v>11</v>
      </c>
    </row>
    <row r="231" spans="2:5" x14ac:dyDescent="0.25">
      <c r="B231" t="s">
        <v>352</v>
      </c>
      <c r="D231" t="s">
        <v>33</v>
      </c>
      <c r="E231" t="s">
        <v>11</v>
      </c>
    </row>
    <row r="232" spans="2:5" x14ac:dyDescent="0.25">
      <c r="B232" t="s">
        <v>353</v>
      </c>
      <c r="D232" t="s">
        <v>33</v>
      </c>
      <c r="E232" t="s">
        <v>11</v>
      </c>
    </row>
    <row r="233" spans="2:5" x14ac:dyDescent="0.25">
      <c r="B233" t="s">
        <v>354</v>
      </c>
      <c r="D233" t="s">
        <v>33</v>
      </c>
      <c r="E233" t="s">
        <v>11</v>
      </c>
    </row>
    <row r="234" spans="2:5" x14ac:dyDescent="0.25">
      <c r="B234" t="s">
        <v>355</v>
      </c>
      <c r="D234" t="s">
        <v>33</v>
      </c>
      <c r="E234" t="s">
        <v>11</v>
      </c>
    </row>
    <row r="235" spans="2:5" x14ac:dyDescent="0.25">
      <c r="B235" t="s">
        <v>356</v>
      </c>
      <c r="D235" t="s">
        <v>33</v>
      </c>
      <c r="E235" t="s">
        <v>11</v>
      </c>
    </row>
    <row r="236" spans="2:5" x14ac:dyDescent="0.25">
      <c r="B236" t="s">
        <v>357</v>
      </c>
      <c r="D236" t="s">
        <v>33</v>
      </c>
      <c r="E236" t="s">
        <v>11</v>
      </c>
    </row>
    <row r="237" spans="2:5" x14ac:dyDescent="0.25">
      <c r="B237" t="s">
        <v>358</v>
      </c>
      <c r="D237" t="s">
        <v>33</v>
      </c>
      <c r="E237" t="s">
        <v>11</v>
      </c>
    </row>
    <row r="238" spans="2:5" x14ac:dyDescent="0.25">
      <c r="B238" t="s">
        <v>359</v>
      </c>
      <c r="D238" t="s">
        <v>33</v>
      </c>
      <c r="E238" t="s">
        <v>11</v>
      </c>
    </row>
    <row r="239" spans="2:5" x14ac:dyDescent="0.25">
      <c r="B239" t="s">
        <v>360</v>
      </c>
      <c r="D239" t="s">
        <v>33</v>
      </c>
      <c r="E239" t="s">
        <v>11</v>
      </c>
    </row>
    <row r="240" spans="2:5" x14ac:dyDescent="0.25">
      <c r="B240" t="s">
        <v>361</v>
      </c>
      <c r="D240" t="s">
        <v>33</v>
      </c>
      <c r="E240" t="s">
        <v>11</v>
      </c>
    </row>
    <row r="241" spans="2:5" x14ac:dyDescent="0.25">
      <c r="B241" t="s">
        <v>362</v>
      </c>
      <c r="D241" t="s">
        <v>33</v>
      </c>
      <c r="E241" t="s">
        <v>11</v>
      </c>
    </row>
    <row r="242" spans="2:5" x14ac:dyDescent="0.25">
      <c r="B242" t="s">
        <v>363</v>
      </c>
      <c r="D242" t="s">
        <v>33</v>
      </c>
      <c r="E242" t="s">
        <v>11</v>
      </c>
    </row>
    <row r="243" spans="2:5" x14ac:dyDescent="0.25">
      <c r="B243" t="s">
        <v>364</v>
      </c>
      <c r="D243" t="s">
        <v>33</v>
      </c>
      <c r="E243" t="s">
        <v>11</v>
      </c>
    </row>
    <row r="244" spans="2:5" x14ac:dyDescent="0.25">
      <c r="B244" t="s">
        <v>365</v>
      </c>
      <c r="D244" t="s">
        <v>33</v>
      </c>
      <c r="E244" t="s">
        <v>11</v>
      </c>
    </row>
    <row r="245" spans="2:5" x14ac:dyDescent="0.25">
      <c r="B245" t="s">
        <v>366</v>
      </c>
      <c r="D245" t="s">
        <v>33</v>
      </c>
      <c r="E245" t="s">
        <v>11</v>
      </c>
    </row>
    <row r="246" spans="2:5" x14ac:dyDescent="0.25">
      <c r="B246" t="s">
        <v>367</v>
      </c>
      <c r="D246" t="s">
        <v>33</v>
      </c>
      <c r="E246" t="s">
        <v>11</v>
      </c>
    </row>
    <row r="247" spans="2:5" x14ac:dyDescent="0.25">
      <c r="B247" t="s">
        <v>368</v>
      </c>
      <c r="D247" t="s">
        <v>33</v>
      </c>
      <c r="E247" t="s">
        <v>11</v>
      </c>
    </row>
    <row r="248" spans="2:5" x14ac:dyDescent="0.25">
      <c r="B248" t="s">
        <v>369</v>
      </c>
      <c r="D248" t="s">
        <v>33</v>
      </c>
      <c r="E248" t="s">
        <v>11</v>
      </c>
    </row>
    <row r="249" spans="2:5" x14ac:dyDescent="0.25">
      <c r="B249" t="s">
        <v>370</v>
      </c>
      <c r="D249" t="s">
        <v>33</v>
      </c>
      <c r="E249" t="s">
        <v>11</v>
      </c>
    </row>
    <row r="250" spans="2:5" x14ac:dyDescent="0.25">
      <c r="B250" t="s">
        <v>371</v>
      </c>
      <c r="D250" t="s">
        <v>33</v>
      </c>
      <c r="E250" t="s">
        <v>11</v>
      </c>
    </row>
    <row r="251" spans="2:5" x14ac:dyDescent="0.25">
      <c r="B251" t="s">
        <v>372</v>
      </c>
      <c r="D251" t="s">
        <v>33</v>
      </c>
      <c r="E251" t="s">
        <v>11</v>
      </c>
    </row>
    <row r="252" spans="2:5" x14ac:dyDescent="0.25">
      <c r="B252" t="s">
        <v>373</v>
      </c>
      <c r="D252" t="s">
        <v>33</v>
      </c>
      <c r="E252" t="s">
        <v>11</v>
      </c>
    </row>
    <row r="253" spans="2:5" x14ac:dyDescent="0.25">
      <c r="B253" t="s">
        <v>374</v>
      </c>
      <c r="D253" t="s">
        <v>33</v>
      </c>
      <c r="E253" t="s">
        <v>11</v>
      </c>
    </row>
    <row r="254" spans="2:5" x14ac:dyDescent="0.25">
      <c r="B254" t="s">
        <v>375</v>
      </c>
      <c r="D254" t="s">
        <v>33</v>
      </c>
      <c r="E254" t="s">
        <v>11</v>
      </c>
    </row>
    <row r="255" spans="2:5" x14ac:dyDescent="0.25">
      <c r="B255" t="s">
        <v>376</v>
      </c>
      <c r="D255" t="s">
        <v>33</v>
      </c>
      <c r="E255" t="s">
        <v>11</v>
      </c>
    </row>
    <row r="256" spans="2:5" x14ac:dyDescent="0.25">
      <c r="B256" t="s">
        <v>377</v>
      </c>
      <c r="D256" t="s">
        <v>33</v>
      </c>
      <c r="E256" t="s">
        <v>11</v>
      </c>
    </row>
    <row r="257" spans="2:5" x14ac:dyDescent="0.25">
      <c r="B257" t="s">
        <v>378</v>
      </c>
      <c r="D257" t="s">
        <v>33</v>
      </c>
      <c r="E257" t="s">
        <v>11</v>
      </c>
    </row>
    <row r="258" spans="2:5" x14ac:dyDescent="0.25">
      <c r="B258" t="s">
        <v>379</v>
      </c>
      <c r="D258" t="s">
        <v>33</v>
      </c>
      <c r="E258" t="s">
        <v>11</v>
      </c>
    </row>
    <row r="259" spans="2:5" x14ac:dyDescent="0.25">
      <c r="B259" t="s">
        <v>380</v>
      </c>
      <c r="D259" t="s">
        <v>33</v>
      </c>
      <c r="E259" t="s">
        <v>11</v>
      </c>
    </row>
    <row r="260" spans="2:5" x14ac:dyDescent="0.25">
      <c r="B260" t="s">
        <v>381</v>
      </c>
      <c r="D260" t="s">
        <v>33</v>
      </c>
      <c r="E260" t="s">
        <v>11</v>
      </c>
    </row>
    <row r="261" spans="2:5" x14ac:dyDescent="0.25">
      <c r="B261" t="s">
        <v>382</v>
      </c>
      <c r="D261" t="s">
        <v>33</v>
      </c>
      <c r="E261" t="s">
        <v>11</v>
      </c>
    </row>
    <row r="262" spans="2:5" x14ac:dyDescent="0.25">
      <c r="B262" t="s">
        <v>383</v>
      </c>
      <c r="D262" t="s">
        <v>33</v>
      </c>
      <c r="E262" t="s">
        <v>11</v>
      </c>
    </row>
    <row r="263" spans="2:5" x14ac:dyDescent="0.25">
      <c r="B263" t="s">
        <v>384</v>
      </c>
      <c r="D263" t="s">
        <v>33</v>
      </c>
      <c r="E263" t="s">
        <v>11</v>
      </c>
    </row>
    <row r="264" spans="2:5" x14ac:dyDescent="0.25">
      <c r="B264" t="s">
        <v>385</v>
      </c>
      <c r="D264" t="s">
        <v>33</v>
      </c>
      <c r="E264" t="s">
        <v>11</v>
      </c>
    </row>
    <row r="265" spans="2:5" x14ac:dyDescent="0.25">
      <c r="B265" t="s">
        <v>386</v>
      </c>
      <c r="D265" t="s">
        <v>33</v>
      </c>
      <c r="E265" t="s">
        <v>11</v>
      </c>
    </row>
    <row r="266" spans="2:5" x14ac:dyDescent="0.25">
      <c r="B266" t="s">
        <v>387</v>
      </c>
      <c r="D266" t="s">
        <v>33</v>
      </c>
      <c r="E266" t="s">
        <v>11</v>
      </c>
    </row>
    <row r="267" spans="2:5" x14ac:dyDescent="0.25">
      <c r="B267" t="s">
        <v>388</v>
      </c>
      <c r="D267" t="s">
        <v>33</v>
      </c>
      <c r="E267" t="s">
        <v>11</v>
      </c>
    </row>
    <row r="268" spans="2:5" x14ac:dyDescent="0.25">
      <c r="B268" t="s">
        <v>389</v>
      </c>
      <c r="D268" t="s">
        <v>33</v>
      </c>
      <c r="E268" t="s">
        <v>11</v>
      </c>
    </row>
    <row r="269" spans="2:5" x14ac:dyDescent="0.25">
      <c r="B269" t="s">
        <v>390</v>
      </c>
      <c r="D269" t="s">
        <v>33</v>
      </c>
      <c r="E269" t="s">
        <v>11</v>
      </c>
    </row>
    <row r="270" spans="2:5" x14ac:dyDescent="0.25">
      <c r="B270" t="s">
        <v>391</v>
      </c>
      <c r="D270" t="s">
        <v>33</v>
      </c>
      <c r="E270" t="s">
        <v>11</v>
      </c>
    </row>
    <row r="271" spans="2:5" x14ac:dyDescent="0.25">
      <c r="B271" t="s">
        <v>392</v>
      </c>
      <c r="D271" t="s">
        <v>33</v>
      </c>
      <c r="E271" t="s">
        <v>11</v>
      </c>
    </row>
    <row r="272" spans="2:5" x14ac:dyDescent="0.25">
      <c r="B272" t="s">
        <v>393</v>
      </c>
      <c r="D272" t="s">
        <v>33</v>
      </c>
      <c r="E272" t="s">
        <v>11</v>
      </c>
    </row>
    <row r="273" spans="2:5" x14ac:dyDescent="0.25">
      <c r="B273" t="s">
        <v>394</v>
      </c>
      <c r="D273" t="s">
        <v>33</v>
      </c>
      <c r="E273" t="s">
        <v>11</v>
      </c>
    </row>
    <row r="274" spans="2:5" x14ac:dyDescent="0.25">
      <c r="B274" t="s">
        <v>395</v>
      </c>
      <c r="D274" t="s">
        <v>33</v>
      </c>
      <c r="E274" t="s">
        <v>11</v>
      </c>
    </row>
    <row r="275" spans="2:5" x14ac:dyDescent="0.25">
      <c r="B275" t="s">
        <v>396</v>
      </c>
      <c r="D275" t="s">
        <v>33</v>
      </c>
      <c r="E275" t="s">
        <v>11</v>
      </c>
    </row>
    <row r="276" spans="2:5" x14ac:dyDescent="0.25">
      <c r="B276" t="s">
        <v>397</v>
      </c>
      <c r="D276" t="s">
        <v>33</v>
      </c>
      <c r="E276" t="s">
        <v>11</v>
      </c>
    </row>
    <row r="277" spans="2:5" x14ac:dyDescent="0.25">
      <c r="B277" t="s">
        <v>398</v>
      </c>
      <c r="D277" t="s">
        <v>33</v>
      </c>
      <c r="E277" t="s">
        <v>11</v>
      </c>
    </row>
    <row r="278" spans="2:5" x14ac:dyDescent="0.25">
      <c r="B278" t="s">
        <v>399</v>
      </c>
      <c r="D278" t="s">
        <v>33</v>
      </c>
      <c r="E278" t="s">
        <v>11</v>
      </c>
    </row>
    <row r="279" spans="2:5" x14ac:dyDescent="0.25">
      <c r="B279" t="s">
        <v>400</v>
      </c>
      <c r="D279" t="s">
        <v>33</v>
      </c>
      <c r="E279" t="s">
        <v>11</v>
      </c>
    </row>
    <row r="280" spans="2:5" x14ac:dyDescent="0.25">
      <c r="B280" t="s">
        <v>401</v>
      </c>
      <c r="D280" t="s">
        <v>33</v>
      </c>
      <c r="E280" t="s">
        <v>11</v>
      </c>
    </row>
    <row r="281" spans="2:5" x14ac:dyDescent="0.25">
      <c r="B281" t="s">
        <v>402</v>
      </c>
      <c r="D281" t="s">
        <v>33</v>
      </c>
      <c r="E281" t="s">
        <v>11</v>
      </c>
    </row>
    <row r="282" spans="2:5" x14ac:dyDescent="0.25">
      <c r="B282" t="s">
        <v>403</v>
      </c>
      <c r="D282" t="s">
        <v>33</v>
      </c>
      <c r="E282" t="s">
        <v>11</v>
      </c>
    </row>
    <row r="283" spans="2:5" x14ac:dyDescent="0.25">
      <c r="B283" t="s">
        <v>404</v>
      </c>
      <c r="D283" t="s">
        <v>33</v>
      </c>
      <c r="E283" t="s">
        <v>11</v>
      </c>
    </row>
    <row r="284" spans="2:5" x14ac:dyDescent="0.25">
      <c r="B284" t="s">
        <v>405</v>
      </c>
      <c r="D284" t="s">
        <v>33</v>
      </c>
      <c r="E284" t="s">
        <v>11</v>
      </c>
    </row>
    <row r="285" spans="2:5" x14ac:dyDescent="0.25">
      <c r="B285" t="s">
        <v>406</v>
      </c>
      <c r="D285" t="s">
        <v>33</v>
      </c>
      <c r="E285" t="s">
        <v>11</v>
      </c>
    </row>
    <row r="286" spans="2:5" x14ac:dyDescent="0.25">
      <c r="B286" t="s">
        <v>407</v>
      </c>
      <c r="D286" t="s">
        <v>33</v>
      </c>
      <c r="E286" t="s">
        <v>11</v>
      </c>
    </row>
    <row r="287" spans="2:5" x14ac:dyDescent="0.25">
      <c r="B287" t="s">
        <v>408</v>
      </c>
      <c r="D287" t="s">
        <v>33</v>
      </c>
      <c r="E287" t="s">
        <v>11</v>
      </c>
    </row>
    <row r="288" spans="2:5" x14ac:dyDescent="0.25">
      <c r="B288" t="s">
        <v>409</v>
      </c>
      <c r="D288" t="s">
        <v>33</v>
      </c>
      <c r="E288" t="s">
        <v>11</v>
      </c>
    </row>
    <row r="289" spans="2:5" x14ac:dyDescent="0.25">
      <c r="B289" t="s">
        <v>410</v>
      </c>
      <c r="D289" t="s">
        <v>33</v>
      </c>
      <c r="E289" t="s">
        <v>11</v>
      </c>
    </row>
    <row r="290" spans="2:5" x14ac:dyDescent="0.25">
      <c r="B290" t="s">
        <v>411</v>
      </c>
      <c r="D290" t="s">
        <v>33</v>
      </c>
      <c r="E290" t="s">
        <v>11</v>
      </c>
    </row>
    <row r="291" spans="2:5" x14ac:dyDescent="0.25">
      <c r="B291" t="s">
        <v>412</v>
      </c>
      <c r="D291" t="s">
        <v>33</v>
      </c>
      <c r="E291" t="s">
        <v>11</v>
      </c>
    </row>
    <row r="292" spans="2:5" x14ac:dyDescent="0.25">
      <c r="B292" t="s">
        <v>413</v>
      </c>
      <c r="D292" t="s">
        <v>33</v>
      </c>
      <c r="E292" t="s">
        <v>11</v>
      </c>
    </row>
    <row r="293" spans="2:5" x14ac:dyDescent="0.25">
      <c r="B293" t="s">
        <v>414</v>
      </c>
      <c r="D293" t="s">
        <v>33</v>
      </c>
      <c r="E293" t="s">
        <v>11</v>
      </c>
    </row>
    <row r="294" spans="2:5" x14ac:dyDescent="0.25">
      <c r="B294" t="s">
        <v>415</v>
      </c>
      <c r="D294" t="s">
        <v>33</v>
      </c>
      <c r="E294" t="s">
        <v>11</v>
      </c>
    </row>
    <row r="295" spans="2:5" x14ac:dyDescent="0.25">
      <c r="B295" t="s">
        <v>416</v>
      </c>
      <c r="D295" t="s">
        <v>33</v>
      </c>
      <c r="E295" t="s">
        <v>11</v>
      </c>
    </row>
    <row r="296" spans="2:5" x14ac:dyDescent="0.25">
      <c r="B296" t="s">
        <v>417</v>
      </c>
      <c r="D296" t="s">
        <v>33</v>
      </c>
      <c r="E296" t="s">
        <v>11</v>
      </c>
    </row>
    <row r="297" spans="2:5" x14ac:dyDescent="0.25">
      <c r="B297" t="s">
        <v>418</v>
      </c>
      <c r="D297" t="s">
        <v>33</v>
      </c>
      <c r="E297" t="s">
        <v>11</v>
      </c>
    </row>
    <row r="298" spans="2:5" x14ac:dyDescent="0.25">
      <c r="B298" t="s">
        <v>419</v>
      </c>
      <c r="D298" t="s">
        <v>33</v>
      </c>
      <c r="E298" t="s">
        <v>11</v>
      </c>
    </row>
    <row r="299" spans="2:5" x14ac:dyDescent="0.25">
      <c r="B299" t="s">
        <v>420</v>
      </c>
      <c r="D299" t="s">
        <v>33</v>
      </c>
      <c r="E299" t="s">
        <v>11</v>
      </c>
    </row>
    <row r="300" spans="2:5" x14ac:dyDescent="0.25">
      <c r="B300" t="s">
        <v>421</v>
      </c>
      <c r="D300" t="s">
        <v>33</v>
      </c>
      <c r="E300" t="s">
        <v>11</v>
      </c>
    </row>
    <row r="301" spans="2:5" x14ac:dyDescent="0.25">
      <c r="B301" t="s">
        <v>422</v>
      </c>
      <c r="D301" t="s">
        <v>33</v>
      </c>
      <c r="E301" t="s">
        <v>11</v>
      </c>
    </row>
    <row r="302" spans="2:5" x14ac:dyDescent="0.25">
      <c r="B302" t="s">
        <v>423</v>
      </c>
      <c r="D302" t="s">
        <v>33</v>
      </c>
      <c r="E302" t="s">
        <v>11</v>
      </c>
    </row>
    <row r="303" spans="2:5" x14ac:dyDescent="0.25">
      <c r="B303" t="s">
        <v>424</v>
      </c>
      <c r="D303" t="s">
        <v>33</v>
      </c>
      <c r="E303" t="s">
        <v>11</v>
      </c>
    </row>
    <row r="304" spans="2:5" x14ac:dyDescent="0.25">
      <c r="B304" t="s">
        <v>425</v>
      </c>
      <c r="D304" t="s">
        <v>33</v>
      </c>
      <c r="E304" t="s">
        <v>11</v>
      </c>
    </row>
    <row r="305" spans="2:5" x14ac:dyDescent="0.25">
      <c r="B305" t="s">
        <v>426</v>
      </c>
      <c r="D305" t="s">
        <v>33</v>
      </c>
      <c r="E305" t="s">
        <v>11</v>
      </c>
    </row>
    <row r="306" spans="2:5" x14ac:dyDescent="0.25">
      <c r="B306" t="s">
        <v>427</v>
      </c>
      <c r="D306" t="s">
        <v>33</v>
      </c>
      <c r="E306" t="s">
        <v>11</v>
      </c>
    </row>
    <row r="307" spans="2:5" x14ac:dyDescent="0.25">
      <c r="B307" t="s">
        <v>428</v>
      </c>
      <c r="D307" t="s">
        <v>33</v>
      </c>
      <c r="E307" t="s">
        <v>11</v>
      </c>
    </row>
    <row r="308" spans="2:5" x14ac:dyDescent="0.25">
      <c r="B308" t="s">
        <v>429</v>
      </c>
      <c r="D308" t="s">
        <v>33</v>
      </c>
      <c r="E308" t="s">
        <v>11</v>
      </c>
    </row>
    <row r="309" spans="2:5" x14ac:dyDescent="0.25">
      <c r="B309" t="s">
        <v>430</v>
      </c>
      <c r="D309" t="s">
        <v>33</v>
      </c>
      <c r="E309" t="s">
        <v>11</v>
      </c>
    </row>
    <row r="310" spans="2:5" x14ac:dyDescent="0.25">
      <c r="B310" t="s">
        <v>431</v>
      </c>
      <c r="D310" t="s">
        <v>33</v>
      </c>
      <c r="E310" t="s">
        <v>11</v>
      </c>
    </row>
    <row r="311" spans="2:5" x14ac:dyDescent="0.25">
      <c r="B311" t="s">
        <v>432</v>
      </c>
      <c r="D311" t="s">
        <v>33</v>
      </c>
      <c r="E311" t="s">
        <v>11</v>
      </c>
    </row>
    <row r="312" spans="2:5" x14ac:dyDescent="0.25">
      <c r="B312" t="s">
        <v>433</v>
      </c>
      <c r="D312" t="s">
        <v>33</v>
      </c>
      <c r="E312" t="s">
        <v>11</v>
      </c>
    </row>
    <row r="313" spans="2:5" x14ac:dyDescent="0.25">
      <c r="B313" t="s">
        <v>434</v>
      </c>
      <c r="D313" t="s">
        <v>33</v>
      </c>
      <c r="E313" t="s">
        <v>11</v>
      </c>
    </row>
    <row r="314" spans="2:5" x14ac:dyDescent="0.25">
      <c r="B314" t="s">
        <v>435</v>
      </c>
      <c r="D314" t="s">
        <v>33</v>
      </c>
      <c r="E314" t="s">
        <v>11</v>
      </c>
    </row>
    <row r="315" spans="2:5" x14ac:dyDescent="0.25">
      <c r="B315" t="s">
        <v>436</v>
      </c>
      <c r="D315" t="s">
        <v>33</v>
      </c>
      <c r="E315" t="s">
        <v>11</v>
      </c>
    </row>
    <row r="316" spans="2:5" x14ac:dyDescent="0.25">
      <c r="B316" t="s">
        <v>437</v>
      </c>
      <c r="D316" t="s">
        <v>33</v>
      </c>
      <c r="E316" t="s">
        <v>11</v>
      </c>
    </row>
    <row r="317" spans="2:5" x14ac:dyDescent="0.25">
      <c r="B317" t="s">
        <v>438</v>
      </c>
      <c r="D317" t="s">
        <v>33</v>
      </c>
      <c r="E317" t="s">
        <v>11</v>
      </c>
    </row>
    <row r="318" spans="2:5" x14ac:dyDescent="0.25">
      <c r="B318" t="s">
        <v>439</v>
      </c>
      <c r="D318" t="s">
        <v>33</v>
      </c>
      <c r="E318" t="s">
        <v>11</v>
      </c>
    </row>
    <row r="319" spans="2:5" x14ac:dyDescent="0.25">
      <c r="B319" t="s">
        <v>440</v>
      </c>
      <c r="D319" t="s">
        <v>33</v>
      </c>
      <c r="E319" t="s">
        <v>11</v>
      </c>
    </row>
    <row r="320" spans="2:5" x14ac:dyDescent="0.25">
      <c r="B320" t="s">
        <v>441</v>
      </c>
      <c r="D320" t="s">
        <v>33</v>
      </c>
      <c r="E320" t="s">
        <v>11</v>
      </c>
    </row>
    <row r="321" spans="2:5" x14ac:dyDescent="0.25">
      <c r="B321" t="s">
        <v>442</v>
      </c>
      <c r="D321" t="s">
        <v>33</v>
      </c>
      <c r="E32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000"/>
  <sheetViews>
    <sheetView tabSelected="1" zoomScale="70" zoomScaleNormal="70" workbookViewId="0">
      <pane ySplit="6" topLeftCell="A7" activePane="bottomLeft" state="frozen"/>
      <selection pane="bottomLeft" activeCell="B21" sqref="B21"/>
    </sheetView>
  </sheetViews>
  <sheetFormatPr defaultRowHeight="15" x14ac:dyDescent="0.25"/>
  <cols>
    <col min="1" max="1" width="103" customWidth="1"/>
    <col min="2" max="2" width="48.5703125" customWidth="1"/>
    <col min="3" max="3" width="104.5703125" bestFit="1" customWidth="1"/>
    <col min="4" max="4" width="182.42578125" bestFit="1" customWidth="1"/>
    <col min="5" max="5" width="22.42578125" style="42" bestFit="1" customWidth="1"/>
    <col min="6" max="6" width="137.28515625" customWidth="1"/>
    <col min="7" max="7" width="15" customWidth="1"/>
    <col min="8" max="8" width="30.28515625" customWidth="1"/>
    <col min="9" max="9" width="14.140625" customWidth="1"/>
    <col min="10" max="10" width="16.7109375" bestFit="1" customWidth="1"/>
    <col min="11" max="11" width="17.7109375" customWidth="1"/>
    <col min="12" max="12" width="16.7109375" customWidth="1"/>
    <col min="13" max="13" width="16.28515625" customWidth="1"/>
    <col min="14" max="14" width="13.7109375" customWidth="1"/>
    <col min="15" max="15" width="13.85546875" customWidth="1"/>
    <col min="16" max="16" width="11.85546875" customWidth="1"/>
    <col min="17" max="17" width="12" customWidth="1"/>
    <col min="18" max="18" width="17.42578125" bestFit="1" customWidth="1"/>
    <col min="19" max="19" width="17.42578125" customWidth="1"/>
  </cols>
  <sheetData>
    <row r="1" spans="1:19" ht="84.6" customHeight="1" x14ac:dyDescent="0.25">
      <c r="E1"/>
    </row>
    <row r="2" spans="1:19" x14ac:dyDescent="0.25">
      <c r="A2" s="29" t="s">
        <v>41</v>
      </c>
      <c r="B2" s="15" t="s">
        <v>766</v>
      </c>
      <c r="C2" s="30" t="s">
        <v>54</v>
      </c>
      <c r="D2" s="15">
        <v>24</v>
      </c>
      <c r="E2" s="95"/>
      <c r="F2" s="96"/>
      <c r="G2" s="96"/>
    </row>
    <row r="3" spans="1:19" ht="15.75" thickBot="1" x14ac:dyDescent="0.3">
      <c r="A3" s="29" t="s">
        <v>55</v>
      </c>
      <c r="B3" s="15">
        <v>8</v>
      </c>
      <c r="C3" s="30" t="s">
        <v>56</v>
      </c>
      <c r="D3" s="28" t="s">
        <v>92</v>
      </c>
      <c r="I3" s="62"/>
    </row>
    <row r="4" spans="1:19" x14ac:dyDescent="0.25">
      <c r="A4" s="29" t="s">
        <v>57</v>
      </c>
      <c r="B4" s="15">
        <v>310</v>
      </c>
      <c r="C4" s="29" t="s">
        <v>31</v>
      </c>
      <c r="D4" s="34" t="s">
        <v>762</v>
      </c>
    </row>
    <row r="5" spans="1:19" x14ac:dyDescent="0.25">
      <c r="A5">
        <v>1</v>
      </c>
      <c r="B5" t="s">
        <v>780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</row>
    <row r="6" spans="1:19" x14ac:dyDescent="0.25">
      <c r="A6" s="29" t="s">
        <v>35</v>
      </c>
      <c r="B6" s="29" t="s">
        <v>36</v>
      </c>
      <c r="C6" s="29" t="s">
        <v>37</v>
      </c>
      <c r="D6" s="29" t="s">
        <v>38</v>
      </c>
      <c r="E6" s="43" t="s">
        <v>39</v>
      </c>
      <c r="F6" s="29" t="s">
        <v>40</v>
      </c>
      <c r="G6" s="29" t="s">
        <v>41</v>
      </c>
      <c r="H6" s="29" t="s">
        <v>42</v>
      </c>
      <c r="I6" s="29" t="s">
        <v>43</v>
      </c>
      <c r="J6" s="29" t="s">
        <v>44</v>
      </c>
      <c r="K6" s="29" t="s">
        <v>45</v>
      </c>
      <c r="L6" s="29" t="s">
        <v>46</v>
      </c>
      <c r="M6" s="29" t="s">
        <v>47</v>
      </c>
      <c r="N6" s="29" t="s">
        <v>48</v>
      </c>
      <c r="O6" s="29" t="s">
        <v>49</v>
      </c>
      <c r="P6" s="29" t="s">
        <v>50</v>
      </c>
      <c r="Q6" s="29" t="s">
        <v>51</v>
      </c>
      <c r="R6" s="29" t="s">
        <v>52</v>
      </c>
      <c r="S6" s="29" t="s">
        <v>53</v>
      </c>
    </row>
    <row r="7" spans="1:19" x14ac:dyDescent="0.25">
      <c r="A7" t="s">
        <v>650</v>
      </c>
      <c r="B7" t="s">
        <v>651</v>
      </c>
      <c r="C7" t="s">
        <v>652</v>
      </c>
      <c r="D7" t="s">
        <v>653</v>
      </c>
      <c r="E7">
        <v>259</v>
      </c>
      <c r="F7" t="s">
        <v>654</v>
      </c>
      <c r="G7" t="s">
        <v>743</v>
      </c>
      <c r="H7" t="s">
        <v>510</v>
      </c>
      <c r="I7">
        <v>1</v>
      </c>
      <c r="J7" t="s">
        <v>517</v>
      </c>
      <c r="K7">
        <v>0</v>
      </c>
      <c r="L7">
        <v>0</v>
      </c>
      <c r="M7">
        <v>1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</row>
    <row r="8" spans="1:19" x14ac:dyDescent="0.25">
      <c r="A8" t="s">
        <v>655</v>
      </c>
      <c r="B8" t="s">
        <v>656</v>
      </c>
      <c r="C8" t="s">
        <v>657</v>
      </c>
      <c r="D8" t="s">
        <v>658</v>
      </c>
      <c r="E8">
        <v>204</v>
      </c>
      <c r="F8" t="s">
        <v>659</v>
      </c>
      <c r="G8" t="s">
        <v>743</v>
      </c>
      <c r="H8" t="s">
        <v>510</v>
      </c>
      <c r="I8">
        <v>1</v>
      </c>
      <c r="J8" t="s">
        <v>517</v>
      </c>
      <c r="K8">
        <v>0</v>
      </c>
      <c r="L8">
        <v>0</v>
      </c>
      <c r="M8">
        <v>1</v>
      </c>
      <c r="N8">
        <v>0</v>
      </c>
      <c r="O8">
        <v>0</v>
      </c>
      <c r="P8">
        <v>1</v>
      </c>
      <c r="Q8">
        <v>0</v>
      </c>
      <c r="R8">
        <v>0</v>
      </c>
      <c r="S8">
        <v>0</v>
      </c>
    </row>
    <row r="9" spans="1:19" x14ac:dyDescent="0.25">
      <c r="A9" t="s">
        <v>660</v>
      </c>
      <c r="B9" t="s">
        <v>661</v>
      </c>
      <c r="C9" t="s">
        <v>662</v>
      </c>
      <c r="D9" t="s">
        <v>663</v>
      </c>
      <c r="E9">
        <v>28</v>
      </c>
      <c r="F9" t="s">
        <v>664</v>
      </c>
      <c r="G9" t="s">
        <v>743</v>
      </c>
      <c r="H9" t="s">
        <v>510</v>
      </c>
      <c r="I9">
        <v>1</v>
      </c>
      <c r="J9" t="s">
        <v>517</v>
      </c>
      <c r="K9">
        <v>0</v>
      </c>
      <c r="L9">
        <v>0</v>
      </c>
      <c r="M9">
        <v>1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</row>
    <row r="10" spans="1:19" x14ac:dyDescent="0.25">
      <c r="A10" t="s">
        <v>665</v>
      </c>
      <c r="B10" t="s">
        <v>666</v>
      </c>
      <c r="C10" t="s">
        <v>667</v>
      </c>
      <c r="D10" t="s">
        <v>668</v>
      </c>
      <c r="E10">
        <v>90</v>
      </c>
      <c r="F10" t="s">
        <v>669</v>
      </c>
      <c r="G10" t="s">
        <v>743</v>
      </c>
      <c r="H10" t="s">
        <v>510</v>
      </c>
      <c r="I10">
        <v>1</v>
      </c>
      <c r="J10" t="s">
        <v>517</v>
      </c>
      <c r="K10">
        <v>0</v>
      </c>
      <c r="L10">
        <v>0</v>
      </c>
      <c r="M10">
        <v>1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</row>
    <row r="11" spans="1:19" x14ac:dyDescent="0.25">
      <c r="A11" t="s">
        <v>670</v>
      </c>
      <c r="B11" t="s">
        <v>671</v>
      </c>
      <c r="C11" t="s">
        <v>672</v>
      </c>
      <c r="D11" t="s">
        <v>673</v>
      </c>
      <c r="E11">
        <v>216</v>
      </c>
      <c r="F11" t="s">
        <v>674</v>
      </c>
      <c r="G11" t="s">
        <v>743</v>
      </c>
      <c r="H11" t="s">
        <v>510</v>
      </c>
      <c r="I11">
        <v>1</v>
      </c>
      <c r="J11" t="s">
        <v>517</v>
      </c>
      <c r="K11">
        <v>0</v>
      </c>
      <c r="L11">
        <v>0</v>
      </c>
      <c r="M11">
        <v>1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</row>
    <row r="12" spans="1:19" x14ac:dyDescent="0.25">
      <c r="A12" t="s">
        <v>675</v>
      </c>
      <c r="B12" t="s">
        <v>676</v>
      </c>
      <c r="C12" t="s">
        <v>677</v>
      </c>
      <c r="D12" t="s">
        <v>678</v>
      </c>
      <c r="E12">
        <v>4</v>
      </c>
      <c r="F12" t="s">
        <v>679</v>
      </c>
      <c r="G12" t="s">
        <v>743</v>
      </c>
      <c r="H12" t="s">
        <v>510</v>
      </c>
      <c r="I12">
        <v>1</v>
      </c>
      <c r="J12" t="s">
        <v>517</v>
      </c>
      <c r="K12">
        <v>0</v>
      </c>
      <c r="L12">
        <v>0</v>
      </c>
      <c r="M12">
        <v>1</v>
      </c>
      <c r="N12">
        <v>0</v>
      </c>
      <c r="O12">
        <v>0</v>
      </c>
      <c r="P12">
        <v>1</v>
      </c>
      <c r="Q12">
        <v>0</v>
      </c>
      <c r="R12">
        <v>0</v>
      </c>
      <c r="S12">
        <v>0</v>
      </c>
    </row>
    <row r="13" spans="1:19" x14ac:dyDescent="0.25">
      <c r="A13" t="s">
        <v>680</v>
      </c>
      <c r="B13" t="s">
        <v>681</v>
      </c>
      <c r="C13" t="s">
        <v>682</v>
      </c>
      <c r="D13" t="s">
        <v>683</v>
      </c>
      <c r="E13">
        <v>30</v>
      </c>
      <c r="F13" t="s">
        <v>684</v>
      </c>
      <c r="G13" t="s">
        <v>743</v>
      </c>
      <c r="H13" t="s">
        <v>510</v>
      </c>
      <c r="I13">
        <v>1</v>
      </c>
      <c r="J13" t="s">
        <v>517</v>
      </c>
      <c r="K13">
        <v>0</v>
      </c>
      <c r="L13">
        <v>0</v>
      </c>
      <c r="M13">
        <v>1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</row>
    <row r="14" spans="1:19" x14ac:dyDescent="0.25">
      <c r="A14" t="s">
        <v>685</v>
      </c>
      <c r="B14" t="s">
        <v>686</v>
      </c>
      <c r="C14" t="s">
        <v>687</v>
      </c>
      <c r="D14" t="s">
        <v>688</v>
      </c>
      <c r="E14">
        <v>12</v>
      </c>
      <c r="F14" t="s">
        <v>689</v>
      </c>
      <c r="G14" t="s">
        <v>743</v>
      </c>
      <c r="H14" t="s">
        <v>510</v>
      </c>
      <c r="I14">
        <v>1</v>
      </c>
      <c r="J14" t="s">
        <v>517</v>
      </c>
      <c r="K14">
        <v>0</v>
      </c>
      <c r="L14">
        <v>0</v>
      </c>
      <c r="M14">
        <v>1</v>
      </c>
      <c r="N14">
        <v>0</v>
      </c>
      <c r="O14">
        <v>0</v>
      </c>
      <c r="P14">
        <v>1</v>
      </c>
      <c r="Q14">
        <v>0</v>
      </c>
      <c r="R14">
        <v>0</v>
      </c>
      <c r="S14">
        <v>0</v>
      </c>
    </row>
    <row r="15" spans="1:19" x14ac:dyDescent="0.25">
      <c r="A15" t="s">
        <v>690</v>
      </c>
      <c r="B15" t="s">
        <v>691</v>
      </c>
      <c r="C15" t="s">
        <v>692</v>
      </c>
      <c r="D15" t="s">
        <v>693</v>
      </c>
      <c r="E15">
        <v>4</v>
      </c>
      <c r="F15" t="s">
        <v>694</v>
      </c>
      <c r="G15" t="s">
        <v>743</v>
      </c>
      <c r="H15" t="s">
        <v>510</v>
      </c>
      <c r="I15">
        <v>1</v>
      </c>
      <c r="J15" t="s">
        <v>517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</row>
    <row r="16" spans="1:19" x14ac:dyDescent="0.25">
      <c r="A16" t="s">
        <v>695</v>
      </c>
      <c r="B16" t="s">
        <v>696</v>
      </c>
      <c r="C16" t="s">
        <v>697</v>
      </c>
      <c r="D16" t="s">
        <v>698</v>
      </c>
      <c r="E16">
        <v>296</v>
      </c>
      <c r="F16" t="s">
        <v>699</v>
      </c>
      <c r="G16" t="s">
        <v>743</v>
      </c>
      <c r="H16" t="s">
        <v>510</v>
      </c>
      <c r="I16">
        <v>1</v>
      </c>
      <c r="J16" t="s">
        <v>517</v>
      </c>
      <c r="K16">
        <v>0</v>
      </c>
      <c r="L16">
        <v>0</v>
      </c>
      <c r="M16">
        <v>1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</row>
    <row r="17" spans="1:19" x14ac:dyDescent="0.25">
      <c r="A17" t="s">
        <v>700</v>
      </c>
      <c r="B17" t="s">
        <v>701</v>
      </c>
      <c r="C17" t="s">
        <v>702</v>
      </c>
      <c r="D17" t="s">
        <v>703</v>
      </c>
      <c r="E17">
        <v>10</v>
      </c>
      <c r="F17" t="s">
        <v>704</v>
      </c>
      <c r="G17" t="s">
        <v>743</v>
      </c>
      <c r="H17" t="s">
        <v>510</v>
      </c>
      <c r="I17">
        <v>1</v>
      </c>
      <c r="J17" t="s">
        <v>647</v>
      </c>
      <c r="K17">
        <v>0</v>
      </c>
      <c r="L17">
        <v>0</v>
      </c>
      <c r="M17">
        <v>1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</row>
    <row r="18" spans="1:19" x14ac:dyDescent="0.25">
      <c r="A18" t="s">
        <v>705</v>
      </c>
      <c r="B18" t="s">
        <v>706</v>
      </c>
      <c r="C18" t="s">
        <v>707</v>
      </c>
      <c r="D18" t="s">
        <v>708</v>
      </c>
      <c r="E18">
        <v>12</v>
      </c>
      <c r="F18" t="s">
        <v>709</v>
      </c>
      <c r="G18" t="s">
        <v>743</v>
      </c>
      <c r="H18" t="s">
        <v>510</v>
      </c>
      <c r="I18">
        <v>1</v>
      </c>
      <c r="J18" t="s">
        <v>647</v>
      </c>
      <c r="K18">
        <v>0</v>
      </c>
      <c r="L18">
        <v>0</v>
      </c>
      <c r="M18">
        <v>1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</row>
    <row r="19" spans="1:19" x14ac:dyDescent="0.25">
      <c r="A19" t="s">
        <v>773</v>
      </c>
      <c r="B19" t="s">
        <v>774</v>
      </c>
      <c r="C19" t="s">
        <v>775</v>
      </c>
      <c r="D19" t="s">
        <v>776</v>
      </c>
      <c r="E19">
        <v>288</v>
      </c>
      <c r="F19" t="s">
        <v>777</v>
      </c>
      <c r="G19" t="s">
        <v>743</v>
      </c>
      <c r="H19" t="s">
        <v>510</v>
      </c>
      <c r="I19">
        <v>1</v>
      </c>
      <c r="J19" t="s">
        <v>517</v>
      </c>
      <c r="K19">
        <v>0</v>
      </c>
      <c r="L19">
        <v>0</v>
      </c>
      <c r="M19">
        <v>1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</row>
    <row r="20" spans="1:19" x14ac:dyDescent="0.25">
      <c r="A20" t="s">
        <v>710</v>
      </c>
      <c r="B20" t="s">
        <v>711</v>
      </c>
      <c r="C20" t="s">
        <v>712</v>
      </c>
      <c r="D20" t="s">
        <v>713</v>
      </c>
      <c r="E20"/>
      <c r="F20" t="s">
        <v>714</v>
      </c>
      <c r="G20" t="s">
        <v>743</v>
      </c>
      <c r="H20" t="s">
        <v>510</v>
      </c>
      <c r="I20">
        <v>1</v>
      </c>
      <c r="J20" t="s">
        <v>649</v>
      </c>
      <c r="K20">
        <v>0</v>
      </c>
      <c r="L20">
        <v>0</v>
      </c>
      <c r="M20">
        <v>1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</row>
    <row r="21" spans="1:19" x14ac:dyDescent="0.25">
      <c r="A21" t="s">
        <v>739</v>
      </c>
      <c r="B21" t="s">
        <v>740</v>
      </c>
      <c r="C21" t="s">
        <v>741</v>
      </c>
      <c r="D21" t="s">
        <v>539</v>
      </c>
      <c r="E21">
        <v>14</v>
      </c>
      <c r="F21" t="s">
        <v>742</v>
      </c>
      <c r="G21" t="s">
        <v>743</v>
      </c>
      <c r="H21" t="s">
        <v>744</v>
      </c>
      <c r="I21">
        <v>1</v>
      </c>
      <c r="J21" t="s">
        <v>517</v>
      </c>
      <c r="K21">
        <v>0</v>
      </c>
      <c r="L21">
        <v>0</v>
      </c>
      <c r="M21">
        <v>1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</row>
    <row r="22" spans="1:19" x14ac:dyDescent="0.25">
      <c r="A22" t="s">
        <v>745</v>
      </c>
      <c r="B22" t="s">
        <v>746</v>
      </c>
      <c r="C22" t="s">
        <v>747</v>
      </c>
      <c r="D22" t="s">
        <v>539</v>
      </c>
      <c r="E22">
        <v>12</v>
      </c>
      <c r="F22" t="s">
        <v>742</v>
      </c>
      <c r="G22" t="s">
        <v>743</v>
      </c>
      <c r="H22" t="s">
        <v>744</v>
      </c>
      <c r="I22">
        <v>1</v>
      </c>
      <c r="J22" t="s">
        <v>517</v>
      </c>
      <c r="K22">
        <v>0</v>
      </c>
      <c r="L22">
        <v>0</v>
      </c>
      <c r="M22">
        <v>1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</row>
    <row r="23" spans="1:19" x14ac:dyDescent="0.25">
      <c r="A23" t="s">
        <v>748</v>
      </c>
      <c r="B23" t="s">
        <v>749</v>
      </c>
      <c r="C23" t="s">
        <v>750</v>
      </c>
      <c r="D23" t="s">
        <v>751</v>
      </c>
      <c r="E23">
        <v>76</v>
      </c>
      <c r="F23" t="s">
        <v>742</v>
      </c>
      <c r="G23" t="s">
        <v>743</v>
      </c>
      <c r="H23" t="s">
        <v>744</v>
      </c>
      <c r="I23">
        <v>1</v>
      </c>
      <c r="J23" t="s">
        <v>517</v>
      </c>
      <c r="K23">
        <v>0</v>
      </c>
      <c r="L23">
        <v>0</v>
      </c>
      <c r="M23">
        <v>1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</row>
    <row r="24" spans="1:19" x14ac:dyDescent="0.25">
      <c r="A24" t="s">
        <v>752</v>
      </c>
      <c r="B24" t="s">
        <v>749</v>
      </c>
      <c r="C24" t="s">
        <v>753</v>
      </c>
      <c r="D24" t="s">
        <v>751</v>
      </c>
      <c r="E24">
        <v>76</v>
      </c>
      <c r="F24" t="s">
        <v>742</v>
      </c>
      <c r="G24" t="s">
        <v>743</v>
      </c>
      <c r="H24" t="s">
        <v>744</v>
      </c>
      <c r="I24">
        <v>1</v>
      </c>
      <c r="J24" t="s">
        <v>517</v>
      </c>
      <c r="K24">
        <v>0</v>
      </c>
      <c r="L24">
        <v>0</v>
      </c>
      <c r="M24">
        <v>1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</row>
    <row r="25" spans="1:19" x14ac:dyDescent="0.25">
      <c r="A25" t="s">
        <v>754</v>
      </c>
      <c r="B25" t="s">
        <v>749</v>
      </c>
      <c r="C25" t="s">
        <v>755</v>
      </c>
      <c r="D25" t="s">
        <v>751</v>
      </c>
      <c r="E25">
        <v>76</v>
      </c>
      <c r="F25" t="s">
        <v>742</v>
      </c>
      <c r="G25" t="s">
        <v>743</v>
      </c>
      <c r="H25" t="s">
        <v>744</v>
      </c>
      <c r="I25">
        <v>1</v>
      </c>
      <c r="J25" t="s">
        <v>517</v>
      </c>
      <c r="K25">
        <v>0</v>
      </c>
      <c r="L25">
        <v>0</v>
      </c>
      <c r="M25">
        <v>1</v>
      </c>
      <c r="N25">
        <v>0</v>
      </c>
      <c r="O25">
        <v>0</v>
      </c>
      <c r="P25">
        <v>1</v>
      </c>
      <c r="Q25">
        <v>0</v>
      </c>
      <c r="R25">
        <v>0</v>
      </c>
      <c r="S25">
        <v>0</v>
      </c>
    </row>
    <row r="26" spans="1:19" x14ac:dyDescent="0.25">
      <c r="A26" t="s">
        <v>756</v>
      </c>
      <c r="B26" t="s">
        <v>749</v>
      </c>
      <c r="C26" t="s">
        <v>757</v>
      </c>
      <c r="D26" t="s">
        <v>751</v>
      </c>
      <c r="E26">
        <v>76</v>
      </c>
      <c r="F26" t="s">
        <v>742</v>
      </c>
      <c r="G26" t="s">
        <v>743</v>
      </c>
      <c r="H26" t="s">
        <v>744</v>
      </c>
      <c r="I26">
        <v>1</v>
      </c>
      <c r="J26" t="s">
        <v>517</v>
      </c>
      <c r="K26">
        <v>0</v>
      </c>
      <c r="L26">
        <v>0</v>
      </c>
      <c r="M26">
        <v>1</v>
      </c>
      <c r="N26">
        <v>0</v>
      </c>
      <c r="O26">
        <v>0</v>
      </c>
      <c r="P26">
        <v>1</v>
      </c>
      <c r="Q26">
        <v>0</v>
      </c>
      <c r="R26">
        <v>0</v>
      </c>
      <c r="S26">
        <v>0</v>
      </c>
    </row>
    <row r="27" spans="1:19" x14ac:dyDescent="0.25">
      <c r="A27" t="s">
        <v>758</v>
      </c>
      <c r="B27" t="s">
        <v>749</v>
      </c>
      <c r="C27" t="s">
        <v>759</v>
      </c>
      <c r="D27" t="s">
        <v>751</v>
      </c>
      <c r="E27">
        <v>76</v>
      </c>
      <c r="F27" t="s">
        <v>742</v>
      </c>
      <c r="G27" t="s">
        <v>743</v>
      </c>
      <c r="H27" t="s">
        <v>744</v>
      </c>
      <c r="I27">
        <v>1</v>
      </c>
      <c r="J27" t="s">
        <v>517</v>
      </c>
      <c r="K27">
        <v>0</v>
      </c>
      <c r="L27">
        <v>0</v>
      </c>
      <c r="M27">
        <v>1</v>
      </c>
      <c r="N27">
        <v>0</v>
      </c>
      <c r="O27">
        <v>0</v>
      </c>
      <c r="P27">
        <v>1</v>
      </c>
      <c r="Q27">
        <v>0</v>
      </c>
      <c r="R27">
        <v>0</v>
      </c>
      <c r="S27">
        <v>0</v>
      </c>
    </row>
    <row r="28" spans="1:19" x14ac:dyDescent="0.25">
      <c r="A28" t="s">
        <v>760</v>
      </c>
      <c r="B28" t="s">
        <v>749</v>
      </c>
      <c r="C28" t="s">
        <v>761</v>
      </c>
      <c r="D28" t="s">
        <v>751</v>
      </c>
      <c r="E28">
        <v>76</v>
      </c>
      <c r="F28" t="s">
        <v>742</v>
      </c>
      <c r="G28" t="s">
        <v>743</v>
      </c>
      <c r="H28" t="s">
        <v>744</v>
      </c>
      <c r="I28">
        <v>1</v>
      </c>
      <c r="J28" t="s">
        <v>517</v>
      </c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</row>
    <row r="29" spans="1:19" x14ac:dyDescent="0.25">
      <c r="A29" t="s">
        <v>763</v>
      </c>
      <c r="B29" t="s">
        <v>749</v>
      </c>
      <c r="C29" t="s">
        <v>764</v>
      </c>
      <c r="D29" t="s">
        <v>751</v>
      </c>
      <c r="E29">
        <v>76</v>
      </c>
      <c r="F29" t="s">
        <v>742</v>
      </c>
      <c r="G29" t="s">
        <v>743</v>
      </c>
      <c r="H29" t="s">
        <v>744</v>
      </c>
      <c r="I29">
        <v>1</v>
      </c>
      <c r="J29" t="s">
        <v>517</v>
      </c>
      <c r="K29">
        <v>0</v>
      </c>
      <c r="L29">
        <v>0</v>
      </c>
      <c r="M29">
        <v>1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</row>
    <row r="30" spans="1:19" x14ac:dyDescent="0.25">
      <c r="A30" t="s">
        <v>767</v>
      </c>
      <c r="B30" t="s">
        <v>91</v>
      </c>
      <c r="C30" t="s">
        <v>768</v>
      </c>
      <c r="D30" t="s">
        <v>778</v>
      </c>
      <c r="E30">
        <v>4</v>
      </c>
      <c r="F30" t="s">
        <v>769</v>
      </c>
      <c r="G30" t="s">
        <v>779</v>
      </c>
      <c r="H30" t="s">
        <v>744</v>
      </c>
      <c r="I30">
        <v>1</v>
      </c>
      <c r="J30" t="s">
        <v>647</v>
      </c>
      <c r="K30">
        <v>0</v>
      </c>
      <c r="L30">
        <v>0</v>
      </c>
      <c r="M30">
        <v>1</v>
      </c>
      <c r="N30">
        <v>0</v>
      </c>
      <c r="O30">
        <v>0</v>
      </c>
      <c r="P30">
        <v>1</v>
      </c>
      <c r="Q30">
        <v>0</v>
      </c>
      <c r="R30">
        <v>0</v>
      </c>
      <c r="S30">
        <v>0</v>
      </c>
    </row>
    <row r="31" spans="1:19" x14ac:dyDescent="0.25">
      <c r="E31"/>
    </row>
    <row r="32" spans="1:19" x14ac:dyDescent="0.25">
      <c r="E32"/>
    </row>
    <row r="33" spans="1:28" x14ac:dyDescent="0.25">
      <c r="E33"/>
    </row>
    <row r="34" spans="1:28" x14ac:dyDescent="0.25">
      <c r="E34"/>
    </row>
    <row r="35" spans="1:28" x14ac:dyDescent="0.25">
      <c r="E35"/>
    </row>
    <row r="36" spans="1:28" x14ac:dyDescent="0.25">
      <c r="E36"/>
    </row>
    <row r="37" spans="1:28" x14ac:dyDescent="0.25">
      <c r="E37"/>
    </row>
    <row r="38" spans="1:28" x14ac:dyDescent="0.25">
      <c r="E38"/>
    </row>
    <row r="39" spans="1:28" x14ac:dyDescent="0.25">
      <c r="E39"/>
    </row>
    <row r="40" spans="1:28" s="16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16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16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16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16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16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16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16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16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16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16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16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16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16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16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16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16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16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16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16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E60"/>
    </row>
    <row r="61" spans="1:28" x14ac:dyDescent="0.25">
      <c r="E61"/>
    </row>
    <row r="62" spans="1:28" x14ac:dyDescent="0.25">
      <c r="E62"/>
    </row>
    <row r="63" spans="1:28" x14ac:dyDescent="0.25">
      <c r="E63"/>
    </row>
    <row r="64" spans="1:28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  <row r="738" spans="5:5" x14ac:dyDescent="0.25">
      <c r="E738"/>
    </row>
    <row r="739" spans="5:5" x14ac:dyDescent="0.25">
      <c r="E739"/>
    </row>
    <row r="740" spans="5:5" x14ac:dyDescent="0.25">
      <c r="E740"/>
    </row>
    <row r="741" spans="5:5" x14ac:dyDescent="0.25">
      <c r="E741"/>
    </row>
    <row r="742" spans="5:5" x14ac:dyDescent="0.25">
      <c r="E742"/>
    </row>
    <row r="743" spans="5:5" x14ac:dyDescent="0.25">
      <c r="E743"/>
    </row>
    <row r="744" spans="5:5" x14ac:dyDescent="0.25">
      <c r="E744"/>
    </row>
    <row r="745" spans="5:5" x14ac:dyDescent="0.25">
      <c r="E745"/>
    </row>
    <row r="746" spans="5:5" x14ac:dyDescent="0.25">
      <c r="E746"/>
    </row>
    <row r="747" spans="5:5" x14ac:dyDescent="0.25">
      <c r="E747"/>
    </row>
    <row r="748" spans="5:5" x14ac:dyDescent="0.25">
      <c r="E748"/>
    </row>
    <row r="749" spans="5:5" x14ac:dyDescent="0.25">
      <c r="E749"/>
    </row>
    <row r="750" spans="5:5" x14ac:dyDescent="0.25">
      <c r="E750"/>
    </row>
    <row r="751" spans="5:5" x14ac:dyDescent="0.25">
      <c r="E751"/>
    </row>
    <row r="752" spans="5:5" x14ac:dyDescent="0.25">
      <c r="E752"/>
    </row>
    <row r="753" spans="5:5" x14ac:dyDescent="0.25">
      <c r="E753"/>
    </row>
    <row r="754" spans="5:5" x14ac:dyDescent="0.25">
      <c r="E754"/>
    </row>
    <row r="755" spans="5:5" x14ac:dyDescent="0.25">
      <c r="E755"/>
    </row>
    <row r="756" spans="5:5" x14ac:dyDescent="0.25">
      <c r="E756"/>
    </row>
    <row r="757" spans="5:5" x14ac:dyDescent="0.25">
      <c r="E757"/>
    </row>
    <row r="758" spans="5:5" x14ac:dyDescent="0.25">
      <c r="E758"/>
    </row>
    <row r="759" spans="5:5" x14ac:dyDescent="0.25">
      <c r="E759"/>
    </row>
    <row r="760" spans="5:5" x14ac:dyDescent="0.25">
      <c r="E760"/>
    </row>
    <row r="761" spans="5:5" x14ac:dyDescent="0.25">
      <c r="E761"/>
    </row>
    <row r="762" spans="5:5" x14ac:dyDescent="0.25">
      <c r="E762"/>
    </row>
    <row r="763" spans="5:5" x14ac:dyDescent="0.25">
      <c r="E763"/>
    </row>
    <row r="764" spans="5:5" x14ac:dyDescent="0.25">
      <c r="E764"/>
    </row>
    <row r="765" spans="5:5" x14ac:dyDescent="0.25">
      <c r="E765"/>
    </row>
    <row r="766" spans="5:5" x14ac:dyDescent="0.25">
      <c r="E766"/>
    </row>
    <row r="767" spans="5:5" x14ac:dyDescent="0.25">
      <c r="E767"/>
    </row>
    <row r="768" spans="5:5" x14ac:dyDescent="0.25">
      <c r="E768"/>
    </row>
    <row r="769" spans="5:5" x14ac:dyDescent="0.25">
      <c r="E769"/>
    </row>
    <row r="770" spans="5:5" x14ac:dyDescent="0.25">
      <c r="E770"/>
    </row>
    <row r="771" spans="5:5" x14ac:dyDescent="0.25">
      <c r="E771"/>
    </row>
    <row r="772" spans="5:5" x14ac:dyDescent="0.25">
      <c r="E772"/>
    </row>
    <row r="773" spans="5:5" x14ac:dyDescent="0.25">
      <c r="E773"/>
    </row>
    <row r="774" spans="5:5" x14ac:dyDescent="0.25">
      <c r="E774"/>
    </row>
    <row r="775" spans="5:5" x14ac:dyDescent="0.25">
      <c r="E775"/>
    </row>
    <row r="776" spans="5:5" x14ac:dyDescent="0.25">
      <c r="E776"/>
    </row>
    <row r="777" spans="5:5" x14ac:dyDescent="0.25">
      <c r="E777"/>
    </row>
    <row r="778" spans="5:5" x14ac:dyDescent="0.25">
      <c r="E778"/>
    </row>
    <row r="779" spans="5:5" x14ac:dyDescent="0.25">
      <c r="E779"/>
    </row>
    <row r="780" spans="5:5" x14ac:dyDescent="0.25">
      <c r="E780"/>
    </row>
    <row r="781" spans="5:5" x14ac:dyDescent="0.25">
      <c r="E781"/>
    </row>
    <row r="782" spans="5:5" x14ac:dyDescent="0.25">
      <c r="E782"/>
    </row>
    <row r="783" spans="5:5" x14ac:dyDescent="0.25">
      <c r="E783"/>
    </row>
    <row r="784" spans="5:5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  <row r="801" spans="5:5" x14ac:dyDescent="0.25">
      <c r="E801"/>
    </row>
    <row r="802" spans="5:5" x14ac:dyDescent="0.25">
      <c r="E802"/>
    </row>
    <row r="803" spans="5:5" x14ac:dyDescent="0.25">
      <c r="E803"/>
    </row>
    <row r="804" spans="5:5" x14ac:dyDescent="0.25">
      <c r="E804"/>
    </row>
    <row r="805" spans="5:5" x14ac:dyDescent="0.25">
      <c r="E805"/>
    </row>
    <row r="806" spans="5:5" x14ac:dyDescent="0.25">
      <c r="E806"/>
    </row>
    <row r="807" spans="5:5" x14ac:dyDescent="0.25">
      <c r="E807"/>
    </row>
    <row r="808" spans="5:5" x14ac:dyDescent="0.25">
      <c r="E808"/>
    </row>
    <row r="809" spans="5:5" x14ac:dyDescent="0.25">
      <c r="E809"/>
    </row>
    <row r="810" spans="5:5" x14ac:dyDescent="0.25">
      <c r="E810"/>
    </row>
    <row r="811" spans="5:5" x14ac:dyDescent="0.25">
      <c r="E811"/>
    </row>
    <row r="812" spans="5:5" x14ac:dyDescent="0.25">
      <c r="E812"/>
    </row>
    <row r="813" spans="5:5" x14ac:dyDescent="0.25">
      <c r="E813"/>
    </row>
    <row r="814" spans="5:5" x14ac:dyDescent="0.25">
      <c r="E814"/>
    </row>
    <row r="815" spans="5:5" x14ac:dyDescent="0.25">
      <c r="E815"/>
    </row>
    <row r="816" spans="5:5" x14ac:dyDescent="0.25">
      <c r="E816"/>
    </row>
    <row r="817" spans="5:5" x14ac:dyDescent="0.25">
      <c r="E817"/>
    </row>
    <row r="818" spans="5:5" x14ac:dyDescent="0.25">
      <c r="E818"/>
    </row>
    <row r="819" spans="5:5" x14ac:dyDescent="0.25">
      <c r="E819"/>
    </row>
    <row r="820" spans="5:5" x14ac:dyDescent="0.25">
      <c r="E820"/>
    </row>
    <row r="821" spans="5:5" x14ac:dyDescent="0.25">
      <c r="E821"/>
    </row>
    <row r="822" spans="5:5" x14ac:dyDescent="0.25">
      <c r="E822"/>
    </row>
    <row r="823" spans="5:5" x14ac:dyDescent="0.25">
      <c r="E823"/>
    </row>
    <row r="824" spans="5:5" x14ac:dyDescent="0.25">
      <c r="E824"/>
    </row>
    <row r="825" spans="5:5" x14ac:dyDescent="0.25">
      <c r="E825"/>
    </row>
    <row r="826" spans="5:5" x14ac:dyDescent="0.25">
      <c r="E826"/>
    </row>
    <row r="827" spans="5:5" x14ac:dyDescent="0.25">
      <c r="E827"/>
    </row>
    <row r="828" spans="5:5" x14ac:dyDescent="0.25">
      <c r="E828"/>
    </row>
    <row r="829" spans="5:5" x14ac:dyDescent="0.25">
      <c r="E829"/>
    </row>
    <row r="830" spans="5:5" x14ac:dyDescent="0.25">
      <c r="E830"/>
    </row>
    <row r="831" spans="5:5" x14ac:dyDescent="0.25">
      <c r="E831"/>
    </row>
    <row r="832" spans="5:5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  <row r="929" spans="5:5" x14ac:dyDescent="0.25">
      <c r="E929"/>
    </row>
    <row r="930" spans="5:5" x14ac:dyDescent="0.25">
      <c r="E930"/>
    </row>
    <row r="931" spans="5:5" x14ac:dyDescent="0.25">
      <c r="E931"/>
    </row>
    <row r="932" spans="5:5" x14ac:dyDescent="0.25">
      <c r="E932"/>
    </row>
    <row r="933" spans="5:5" x14ac:dyDescent="0.25">
      <c r="E933"/>
    </row>
    <row r="934" spans="5:5" x14ac:dyDescent="0.25">
      <c r="E934"/>
    </row>
    <row r="935" spans="5:5" x14ac:dyDescent="0.25">
      <c r="E935"/>
    </row>
    <row r="936" spans="5:5" x14ac:dyDescent="0.25">
      <c r="E936"/>
    </row>
    <row r="937" spans="5:5" x14ac:dyDescent="0.25">
      <c r="E937"/>
    </row>
    <row r="938" spans="5:5" x14ac:dyDescent="0.25">
      <c r="E938"/>
    </row>
    <row r="939" spans="5:5" x14ac:dyDescent="0.25">
      <c r="E939"/>
    </row>
    <row r="940" spans="5:5" x14ac:dyDescent="0.25">
      <c r="E940"/>
    </row>
    <row r="941" spans="5:5" x14ac:dyDescent="0.25">
      <c r="E941"/>
    </row>
    <row r="942" spans="5:5" x14ac:dyDescent="0.25">
      <c r="E942"/>
    </row>
    <row r="943" spans="5:5" x14ac:dyDescent="0.25">
      <c r="E943"/>
    </row>
    <row r="944" spans="5:5" x14ac:dyDescent="0.25">
      <c r="E944"/>
    </row>
    <row r="945" spans="5:5" x14ac:dyDescent="0.25">
      <c r="E945"/>
    </row>
    <row r="946" spans="5:5" x14ac:dyDescent="0.25">
      <c r="E946"/>
    </row>
    <row r="947" spans="5:5" x14ac:dyDescent="0.25">
      <c r="E947"/>
    </row>
    <row r="948" spans="5:5" x14ac:dyDescent="0.25">
      <c r="E948"/>
    </row>
    <row r="949" spans="5:5" x14ac:dyDescent="0.25">
      <c r="E949"/>
    </row>
    <row r="950" spans="5:5" x14ac:dyDescent="0.25">
      <c r="E950"/>
    </row>
    <row r="951" spans="5:5" x14ac:dyDescent="0.25">
      <c r="E951"/>
    </row>
    <row r="952" spans="5:5" x14ac:dyDescent="0.25">
      <c r="E952"/>
    </row>
    <row r="953" spans="5:5" x14ac:dyDescent="0.25">
      <c r="E953"/>
    </row>
    <row r="954" spans="5:5" x14ac:dyDescent="0.25">
      <c r="E954"/>
    </row>
    <row r="955" spans="5:5" x14ac:dyDescent="0.25">
      <c r="E955"/>
    </row>
    <row r="956" spans="5:5" x14ac:dyDescent="0.25">
      <c r="E956"/>
    </row>
    <row r="957" spans="5:5" x14ac:dyDescent="0.25">
      <c r="E957"/>
    </row>
    <row r="958" spans="5:5" x14ac:dyDescent="0.25">
      <c r="E958"/>
    </row>
    <row r="959" spans="5:5" x14ac:dyDescent="0.25">
      <c r="E959"/>
    </row>
    <row r="960" spans="5:5" x14ac:dyDescent="0.25">
      <c r="E960"/>
    </row>
    <row r="961" spans="5:5" x14ac:dyDescent="0.25">
      <c r="E961"/>
    </row>
    <row r="962" spans="5:5" x14ac:dyDescent="0.25">
      <c r="E962"/>
    </row>
    <row r="963" spans="5:5" x14ac:dyDescent="0.25">
      <c r="E963"/>
    </row>
    <row r="964" spans="5:5" x14ac:dyDescent="0.25">
      <c r="E964"/>
    </row>
    <row r="965" spans="5:5" x14ac:dyDescent="0.25">
      <c r="E965"/>
    </row>
    <row r="966" spans="5:5" x14ac:dyDescent="0.25">
      <c r="E966"/>
    </row>
    <row r="967" spans="5:5" x14ac:dyDescent="0.25">
      <c r="E967"/>
    </row>
    <row r="968" spans="5:5" x14ac:dyDescent="0.25">
      <c r="E968"/>
    </row>
    <row r="969" spans="5:5" x14ac:dyDescent="0.25">
      <c r="E969"/>
    </row>
    <row r="970" spans="5:5" x14ac:dyDescent="0.25">
      <c r="E970"/>
    </row>
    <row r="971" spans="5:5" x14ac:dyDescent="0.25">
      <c r="E971"/>
    </row>
    <row r="972" spans="5:5" x14ac:dyDescent="0.25">
      <c r="E972"/>
    </row>
    <row r="973" spans="5:5" x14ac:dyDescent="0.25">
      <c r="E973"/>
    </row>
    <row r="974" spans="5:5" x14ac:dyDescent="0.25">
      <c r="E974"/>
    </row>
    <row r="975" spans="5:5" x14ac:dyDescent="0.25">
      <c r="E975"/>
    </row>
    <row r="976" spans="5:5" x14ac:dyDescent="0.25">
      <c r="E976"/>
    </row>
    <row r="977" spans="5:5" x14ac:dyDescent="0.25">
      <c r="E977"/>
    </row>
    <row r="978" spans="5:5" x14ac:dyDescent="0.25">
      <c r="E978"/>
    </row>
    <row r="979" spans="5:5" x14ac:dyDescent="0.25">
      <c r="E979"/>
    </row>
    <row r="980" spans="5:5" x14ac:dyDescent="0.25">
      <c r="E980"/>
    </row>
    <row r="981" spans="5:5" x14ac:dyDescent="0.25">
      <c r="E981"/>
    </row>
    <row r="982" spans="5:5" x14ac:dyDescent="0.25">
      <c r="E982"/>
    </row>
    <row r="983" spans="5:5" x14ac:dyDescent="0.25">
      <c r="E983"/>
    </row>
    <row r="984" spans="5:5" x14ac:dyDescent="0.25">
      <c r="E984"/>
    </row>
    <row r="985" spans="5:5" x14ac:dyDescent="0.25">
      <c r="E985"/>
    </row>
    <row r="986" spans="5:5" x14ac:dyDescent="0.25">
      <c r="E986"/>
    </row>
    <row r="987" spans="5:5" x14ac:dyDescent="0.25">
      <c r="E987"/>
    </row>
    <row r="988" spans="5:5" x14ac:dyDescent="0.25">
      <c r="E988"/>
    </row>
    <row r="989" spans="5:5" x14ac:dyDescent="0.25">
      <c r="E989"/>
    </row>
    <row r="990" spans="5:5" x14ac:dyDescent="0.25">
      <c r="E990"/>
    </row>
    <row r="991" spans="5:5" x14ac:dyDescent="0.25">
      <c r="E991"/>
    </row>
    <row r="992" spans="5:5" x14ac:dyDescent="0.25">
      <c r="E992"/>
    </row>
    <row r="993" spans="5:5" x14ac:dyDescent="0.25">
      <c r="E993"/>
    </row>
    <row r="994" spans="5:5" x14ac:dyDescent="0.25">
      <c r="E994"/>
    </row>
    <row r="995" spans="5:5" x14ac:dyDescent="0.25">
      <c r="E995"/>
    </row>
    <row r="996" spans="5:5" x14ac:dyDescent="0.25">
      <c r="E996"/>
    </row>
    <row r="997" spans="5:5" x14ac:dyDescent="0.25">
      <c r="E997"/>
    </row>
    <row r="998" spans="5:5" x14ac:dyDescent="0.25">
      <c r="E998"/>
    </row>
    <row r="999" spans="5:5" x14ac:dyDescent="0.25">
      <c r="E999"/>
    </row>
    <row r="1000" spans="5:5" x14ac:dyDescent="0.25">
      <c r="E1000"/>
    </row>
  </sheetData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/>
    <dataValidation type="list" allowBlank="1" showInputMessage="1" showErrorMessage="1" sqref="B2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19"/>
  <sheetViews>
    <sheetView workbookViewId="0">
      <selection activeCell="D28" sqref="D28"/>
    </sheetView>
  </sheetViews>
  <sheetFormatPr defaultRowHeight="15" x14ac:dyDescent="0.25"/>
  <cols>
    <col min="1" max="1" width="12.7109375" customWidth="1"/>
    <col min="2" max="2" width="20" customWidth="1"/>
    <col min="3" max="3" width="18.42578125" customWidth="1"/>
    <col min="4" max="4" width="28.7109375" customWidth="1"/>
    <col min="5" max="5" width="16" customWidth="1"/>
  </cols>
  <sheetData>
    <row r="2" spans="1:5" x14ac:dyDescent="0.25">
      <c r="B2" s="29" t="s">
        <v>58</v>
      </c>
      <c r="C2" s="15">
        <v>1</v>
      </c>
      <c r="D2" s="29" t="s">
        <v>59</v>
      </c>
      <c r="E2" s="15">
        <v>32768</v>
      </c>
    </row>
    <row r="3" spans="1:5" x14ac:dyDescent="0.25">
      <c r="B3" s="29" t="s">
        <v>60</v>
      </c>
      <c r="C3" s="15">
        <v>4</v>
      </c>
      <c r="E3" s="26"/>
    </row>
    <row r="6" spans="1:5" x14ac:dyDescent="0.25">
      <c r="A6" s="31" t="s">
        <v>61</v>
      </c>
      <c r="B6" s="31" t="s">
        <v>62</v>
      </c>
      <c r="C6" s="31" t="s">
        <v>63</v>
      </c>
    </row>
    <row r="7" spans="1:5" x14ac:dyDescent="0.25">
      <c r="A7" s="16">
        <v>1</v>
      </c>
      <c r="B7" s="16">
        <v>0</v>
      </c>
      <c r="C7" s="16">
        <v>2</v>
      </c>
    </row>
    <row r="8" spans="1:5" x14ac:dyDescent="0.25">
      <c r="A8" s="16"/>
      <c r="B8" s="16"/>
      <c r="C8" s="16"/>
    </row>
    <row r="9" spans="1:5" x14ac:dyDescent="0.25">
      <c r="A9" s="16"/>
      <c r="B9" s="16"/>
      <c r="C9" s="16"/>
    </row>
    <row r="10" spans="1:5" x14ac:dyDescent="0.25">
      <c r="A10" s="16"/>
      <c r="B10" s="16"/>
      <c r="C10" s="16"/>
    </row>
    <row r="11" spans="1:5" x14ac:dyDescent="0.25">
      <c r="A11" s="16"/>
      <c r="B11" s="16"/>
      <c r="C11" s="16"/>
    </row>
    <row r="12" spans="1:5" x14ac:dyDescent="0.25">
      <c r="A12" s="16"/>
      <c r="B12" s="16"/>
      <c r="C12" s="16"/>
    </row>
    <row r="13" spans="1:5" x14ac:dyDescent="0.25">
      <c r="A13" s="16"/>
      <c r="B13" s="16"/>
      <c r="C13" s="16"/>
    </row>
    <row r="14" spans="1:5" x14ac:dyDescent="0.25">
      <c r="A14" s="16"/>
      <c r="B14" s="16"/>
      <c r="C14" s="16"/>
    </row>
    <row r="15" spans="1:5" x14ac:dyDescent="0.25">
      <c r="A15" s="16"/>
      <c r="B15" s="16"/>
      <c r="C15" s="16"/>
    </row>
    <row r="16" spans="1:5" x14ac:dyDescent="0.25">
      <c r="A16" s="16"/>
      <c r="B16" s="16"/>
      <c r="C16" s="16"/>
    </row>
    <row r="17" spans="1:3" x14ac:dyDescent="0.25">
      <c r="A17" s="16"/>
      <c r="B17" s="16"/>
      <c r="C17" s="16"/>
    </row>
    <row r="18" spans="1:3" x14ac:dyDescent="0.25">
      <c r="A18" s="16"/>
      <c r="B18" s="16"/>
      <c r="C18" s="16"/>
    </row>
    <row r="19" spans="1:3" x14ac:dyDescent="0.25">
      <c r="A19" s="16"/>
      <c r="B19" s="16"/>
      <c r="C19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9"/>
  <sheetViews>
    <sheetView topLeftCell="G1" zoomScale="85" zoomScaleNormal="85" workbookViewId="0">
      <selection activeCell="S8" sqref="S8"/>
    </sheetView>
  </sheetViews>
  <sheetFormatPr defaultRowHeight="15" x14ac:dyDescent="0.25"/>
  <cols>
    <col min="2" max="2" width="20.42578125" customWidth="1"/>
    <col min="3" max="3" width="21.140625" customWidth="1"/>
    <col min="4" max="5" width="19.5703125" customWidth="1"/>
    <col min="6" max="6" width="14.7109375" customWidth="1"/>
    <col min="7" max="7" width="15.42578125" customWidth="1"/>
    <col min="8" max="8" width="17.85546875" customWidth="1"/>
    <col min="9" max="9" width="21.42578125" customWidth="1"/>
    <col min="10" max="10" width="17" customWidth="1"/>
    <col min="12" max="12" width="13.28515625" customWidth="1"/>
    <col min="13" max="13" width="17.42578125" customWidth="1"/>
    <col min="14" max="14" width="25.42578125" customWidth="1"/>
    <col min="15" max="15" width="18.42578125" customWidth="1"/>
    <col min="16" max="16" width="17.42578125" customWidth="1"/>
    <col min="17" max="17" width="12.28515625" bestFit="1" customWidth="1"/>
    <col min="18" max="18" width="11.7109375" bestFit="1" customWidth="1"/>
  </cols>
  <sheetData>
    <row r="1" spans="1:1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25">
      <c r="A3" s="46" t="s">
        <v>444</v>
      </c>
      <c r="B3" s="47"/>
      <c r="C3" s="16" t="s">
        <v>765</v>
      </c>
    </row>
    <row r="5" spans="1:17" x14ac:dyDescent="0.25">
      <c r="A5" s="48" t="s">
        <v>445</v>
      </c>
      <c r="B5" s="48"/>
    </row>
    <row r="6" spans="1:17" x14ac:dyDescent="0.25">
      <c r="A6" s="32" t="s">
        <v>65</v>
      </c>
      <c r="B6" s="33"/>
      <c r="C6" s="30"/>
      <c r="D6" s="27">
        <v>1</v>
      </c>
      <c r="E6" s="29" t="s">
        <v>461</v>
      </c>
      <c r="F6" s="27">
        <v>16384</v>
      </c>
    </row>
    <row r="8" spans="1:17" x14ac:dyDescent="0.25">
      <c r="A8" s="29" t="s">
        <v>64</v>
      </c>
      <c r="B8" s="29" t="s">
        <v>66</v>
      </c>
      <c r="C8" s="29" t="s">
        <v>67</v>
      </c>
      <c r="D8" s="29" t="s">
        <v>68</v>
      </c>
      <c r="E8" s="29" t="s">
        <v>69</v>
      </c>
      <c r="F8" s="29" t="s">
        <v>70</v>
      </c>
      <c r="G8" s="29" t="s">
        <v>71</v>
      </c>
      <c r="H8" s="29" t="s">
        <v>72</v>
      </c>
      <c r="I8" s="29" t="s">
        <v>73</v>
      </c>
      <c r="J8" s="29" t="s">
        <v>74</v>
      </c>
      <c r="K8" s="29" t="s">
        <v>75</v>
      </c>
      <c r="L8" s="29" t="s">
        <v>76</v>
      </c>
      <c r="M8" s="29" t="s">
        <v>77</v>
      </c>
      <c r="N8" s="29" t="s">
        <v>78</v>
      </c>
      <c r="O8" s="29" t="s">
        <v>79</v>
      </c>
      <c r="P8" s="29" t="s">
        <v>80</v>
      </c>
      <c r="Q8" s="29" t="s">
        <v>458</v>
      </c>
    </row>
    <row r="9" spans="1:17" x14ac:dyDescent="0.25">
      <c r="A9" s="16">
        <v>0</v>
      </c>
      <c r="B9" s="16">
        <v>1</v>
      </c>
      <c r="C9" s="16">
        <v>0</v>
      </c>
      <c r="D9" s="16">
        <v>0</v>
      </c>
      <c r="E9" s="16">
        <v>0</v>
      </c>
      <c r="F9" s="16" t="s">
        <v>81</v>
      </c>
      <c r="G9" s="16" t="s">
        <v>82</v>
      </c>
      <c r="H9" s="16" t="s">
        <v>83</v>
      </c>
      <c r="I9" s="16">
        <v>32</v>
      </c>
      <c r="J9" s="16">
        <v>32</v>
      </c>
      <c r="K9" s="16">
        <v>32</v>
      </c>
      <c r="L9" s="16">
        <v>34</v>
      </c>
      <c r="M9" s="16">
        <v>2</v>
      </c>
      <c r="N9" s="16">
        <v>2</v>
      </c>
      <c r="O9" s="16">
        <v>16384</v>
      </c>
      <c r="P9" s="16">
        <v>0</v>
      </c>
      <c r="Q9" s="16">
        <v>5</v>
      </c>
    </row>
    <row r="10" spans="1:17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7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8" spans="1:18" x14ac:dyDescent="0.25">
      <c r="A18" s="48" t="s">
        <v>446</v>
      </c>
    </row>
    <row r="19" spans="1:18" x14ac:dyDescent="0.25">
      <c r="A19" s="32" t="s">
        <v>447</v>
      </c>
      <c r="B19" s="33"/>
      <c r="C19" s="30"/>
      <c r="D19" s="27">
        <v>1</v>
      </c>
      <c r="E19" s="29" t="s">
        <v>461</v>
      </c>
      <c r="F19" s="27">
        <v>65536</v>
      </c>
    </row>
    <row r="21" spans="1:18" x14ac:dyDescent="0.25">
      <c r="A21" s="29" t="s">
        <v>64</v>
      </c>
      <c r="B21" s="29" t="s">
        <v>66</v>
      </c>
      <c r="C21" s="29" t="s">
        <v>67</v>
      </c>
      <c r="D21" s="29" t="s">
        <v>68</v>
      </c>
      <c r="E21" s="29" t="s">
        <v>69</v>
      </c>
      <c r="F21" s="29" t="s">
        <v>70</v>
      </c>
      <c r="G21" s="29" t="s">
        <v>71</v>
      </c>
      <c r="H21" s="29" t="s">
        <v>72</v>
      </c>
      <c r="I21" s="29" t="s">
        <v>73</v>
      </c>
      <c r="J21" s="29" t="s">
        <v>74</v>
      </c>
      <c r="K21" s="29" t="s">
        <v>75</v>
      </c>
      <c r="L21" s="29" t="s">
        <v>76</v>
      </c>
      <c r="M21" s="29" t="s">
        <v>77</v>
      </c>
      <c r="N21" s="29" t="s">
        <v>78</v>
      </c>
      <c r="O21" s="29" t="s">
        <v>459</v>
      </c>
      <c r="P21" s="29" t="s">
        <v>79</v>
      </c>
      <c r="Q21" s="29" t="s">
        <v>80</v>
      </c>
      <c r="R21" s="29" t="s">
        <v>458</v>
      </c>
    </row>
    <row r="22" spans="1:18" x14ac:dyDescent="0.25">
      <c r="A22" s="16">
        <v>0</v>
      </c>
      <c r="B22" s="16">
        <v>0</v>
      </c>
      <c r="C22" s="16">
        <v>0</v>
      </c>
      <c r="D22" s="16">
        <v>0</v>
      </c>
      <c r="E22" s="16">
        <v>0</v>
      </c>
      <c r="F22" s="16" t="s">
        <v>81</v>
      </c>
      <c r="G22" s="16" t="s">
        <v>82</v>
      </c>
      <c r="H22" s="16" t="s">
        <v>83</v>
      </c>
      <c r="I22" s="16">
        <v>128</v>
      </c>
      <c r="J22" s="16">
        <v>128</v>
      </c>
      <c r="K22" s="16">
        <v>128</v>
      </c>
      <c r="L22" s="16">
        <v>131</v>
      </c>
      <c r="M22" s="16">
        <v>2</v>
      </c>
      <c r="N22" s="16">
        <v>2</v>
      </c>
      <c r="O22" s="16" t="s">
        <v>460</v>
      </c>
      <c r="P22" s="16">
        <v>65536</v>
      </c>
      <c r="Q22" s="16">
        <v>0</v>
      </c>
      <c r="R22" s="16">
        <v>5</v>
      </c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</sheetData>
  <dataValidations count="3">
    <dataValidation type="list" allowBlank="1" showInputMessage="1" showErrorMessage="1" sqref="F9:F16 F22:F29">
      <formula1>"BIG_EEPROM, SMALL_EEPROM"</formula1>
    </dataValidation>
    <dataValidation type="list" allowBlank="1" showInputMessage="1" showErrorMessage="1" sqref="C3">
      <formula1>"Legacy,I2c&amp;SPI"</formula1>
    </dataValidation>
    <dataValidation type="list" allowBlank="1" showInputMessage="1" showErrorMessage="1" sqref="O22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26"/>
  <sheetViews>
    <sheetView topLeftCell="A7" workbookViewId="0">
      <selection activeCell="G11" sqref="G11"/>
    </sheetView>
  </sheetViews>
  <sheetFormatPr defaultRowHeight="15" x14ac:dyDescent="0.25"/>
  <cols>
    <col min="2" max="2" width="17.42578125" customWidth="1"/>
    <col min="3" max="3" width="19.28515625" customWidth="1"/>
  </cols>
  <sheetData>
    <row r="2" spans="1:5" x14ac:dyDescent="0.25">
      <c r="B2" s="32" t="s">
        <v>84</v>
      </c>
      <c r="C2" s="30"/>
      <c r="D2" s="16">
        <v>0</v>
      </c>
    </row>
    <row r="5" spans="1:5" x14ac:dyDescent="0.25">
      <c r="A5" s="25" t="s">
        <v>85</v>
      </c>
      <c r="B5" s="25" t="s">
        <v>86</v>
      </c>
    </row>
    <row r="6" spans="1:5" x14ac:dyDescent="0.25">
      <c r="A6" s="25">
        <v>0</v>
      </c>
      <c r="B6" s="25" t="s">
        <v>50</v>
      </c>
    </row>
    <row r="7" spans="1:5" x14ac:dyDescent="0.25">
      <c r="A7" s="16">
        <v>1</v>
      </c>
      <c r="B7" s="16" t="s">
        <v>87</v>
      </c>
    </row>
    <row r="8" spans="1:5" x14ac:dyDescent="0.25">
      <c r="A8" s="16">
        <v>2</v>
      </c>
      <c r="B8" s="16" t="s">
        <v>88</v>
      </c>
    </row>
    <row r="9" spans="1:5" x14ac:dyDescent="0.25">
      <c r="A9" s="16">
        <v>3</v>
      </c>
      <c r="B9" s="16" t="s">
        <v>89</v>
      </c>
    </row>
    <row r="10" spans="1:5" x14ac:dyDescent="0.25">
      <c r="A10" s="16"/>
      <c r="B10" s="16"/>
    </row>
    <row r="11" spans="1:5" x14ac:dyDescent="0.25">
      <c r="A11" s="16"/>
      <c r="B11" s="16"/>
    </row>
    <row r="14" spans="1:5" x14ac:dyDescent="0.25">
      <c r="A14" s="46" t="s">
        <v>462</v>
      </c>
      <c r="B14" s="53"/>
      <c r="C14" s="47"/>
      <c r="D14">
        <v>2</v>
      </c>
    </row>
    <row r="16" spans="1:5" x14ac:dyDescent="0.25">
      <c r="A16" s="16" t="s">
        <v>463</v>
      </c>
      <c r="B16" s="16" t="s">
        <v>464</v>
      </c>
      <c r="C16" s="16" t="s">
        <v>465</v>
      </c>
      <c r="D16" s="16" t="s">
        <v>466</v>
      </c>
      <c r="E16" s="16" t="s">
        <v>467</v>
      </c>
    </row>
    <row r="17" spans="1:5" x14ac:dyDescent="0.25">
      <c r="A17" s="16">
        <v>1</v>
      </c>
      <c r="B17" s="16">
        <v>3</v>
      </c>
      <c r="C17" s="16"/>
      <c r="D17" s="16"/>
      <c r="E17" s="16"/>
    </row>
    <row r="18" spans="1:5" x14ac:dyDescent="0.25">
      <c r="A18" s="16"/>
      <c r="B18" s="16"/>
      <c r="C18" s="16"/>
      <c r="D18" s="16"/>
      <c r="E18" s="16"/>
    </row>
    <row r="19" spans="1:5" x14ac:dyDescent="0.25">
      <c r="A19" s="16"/>
      <c r="B19" s="16"/>
      <c r="C19" s="16"/>
      <c r="D19" s="16"/>
      <c r="E19" s="16"/>
    </row>
    <row r="20" spans="1:5" x14ac:dyDescent="0.25">
      <c r="A20" s="16"/>
      <c r="B20" s="16"/>
      <c r="C20" s="16"/>
      <c r="D20" s="16"/>
      <c r="E20" s="16"/>
    </row>
    <row r="21" spans="1:5" x14ac:dyDescent="0.25">
      <c r="A21" s="16"/>
      <c r="B21" s="16"/>
      <c r="C21" s="16"/>
      <c r="D21" s="16"/>
      <c r="E21" s="16"/>
    </row>
    <row r="22" spans="1:5" x14ac:dyDescent="0.25">
      <c r="A22" s="16"/>
      <c r="B22" s="16"/>
      <c r="C22" s="16"/>
      <c r="D22" s="16"/>
      <c r="E22" s="16"/>
    </row>
    <row r="23" spans="1:5" x14ac:dyDescent="0.25">
      <c r="A23" s="16"/>
      <c r="B23" s="16"/>
      <c r="C23" s="16"/>
      <c r="D23" s="16"/>
      <c r="E23" s="16"/>
    </row>
    <row r="24" spans="1:5" x14ac:dyDescent="0.25">
      <c r="A24" s="16"/>
      <c r="B24" s="16"/>
      <c r="C24" s="16"/>
      <c r="D24" s="16"/>
      <c r="E24" s="16"/>
    </row>
    <row r="25" spans="1:5" x14ac:dyDescent="0.25">
      <c r="A25" s="16"/>
      <c r="B25" s="16"/>
      <c r="C25" s="16"/>
      <c r="D25" s="16"/>
      <c r="E25" s="16"/>
    </row>
    <row r="26" spans="1:5" x14ac:dyDescent="0.25">
      <c r="A26" s="16"/>
      <c r="B26" s="16"/>
      <c r="C26" s="16"/>
      <c r="D26" s="16"/>
      <c r="E26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7"/>
  <sheetViews>
    <sheetView topLeftCell="A10" workbookViewId="0">
      <selection activeCell="F45" sqref="F45"/>
    </sheetView>
  </sheetViews>
  <sheetFormatPr defaultRowHeight="15" x14ac:dyDescent="0.25"/>
  <cols>
    <col min="1" max="1" width="24.85546875" customWidth="1"/>
    <col min="2" max="2" width="16.42578125" customWidth="1"/>
    <col min="3" max="3" width="34.42578125" customWidth="1"/>
    <col min="4" max="4" width="30.140625" customWidth="1"/>
    <col min="5" max="5" width="33.140625" customWidth="1"/>
    <col min="6" max="6" width="32" customWidth="1"/>
  </cols>
  <sheetData>
    <row r="1" spans="1:9" x14ac:dyDescent="0.25">
      <c r="A1" s="76" t="s">
        <v>484</v>
      </c>
      <c r="B1" s="77" t="s">
        <v>485</v>
      </c>
      <c r="C1" s="77" t="s">
        <v>486</v>
      </c>
      <c r="D1" s="77" t="s">
        <v>487</v>
      </c>
      <c r="E1" s="77" t="s">
        <v>488</v>
      </c>
      <c r="F1" s="77" t="s">
        <v>9</v>
      </c>
      <c r="G1" s="78"/>
      <c r="H1" s="78"/>
      <c r="I1" s="78"/>
    </row>
    <row r="2" spans="1:9" x14ac:dyDescent="0.25">
      <c r="A2" s="79" t="s">
        <v>553</v>
      </c>
      <c r="B2" s="15" t="s">
        <v>518</v>
      </c>
      <c r="C2" s="15">
        <v>15</v>
      </c>
      <c r="D2" s="15" t="s">
        <v>519</v>
      </c>
      <c r="E2" s="15" t="s">
        <v>519</v>
      </c>
      <c r="F2" s="15" t="s">
        <v>11</v>
      </c>
      <c r="G2" s="78"/>
      <c r="H2" s="78"/>
      <c r="I2" s="78"/>
    </row>
    <row r="3" spans="1:9" x14ac:dyDescent="0.25">
      <c r="A3" s="79" t="s">
        <v>556</v>
      </c>
      <c r="B3" s="15" t="s">
        <v>518</v>
      </c>
      <c r="C3" s="15">
        <v>244</v>
      </c>
      <c r="D3" s="15" t="s">
        <v>519</v>
      </c>
      <c r="E3" s="15" t="s">
        <v>519</v>
      </c>
      <c r="F3" s="15" t="s">
        <v>11</v>
      </c>
      <c r="G3" s="78"/>
      <c r="H3" s="78"/>
      <c r="I3" s="78"/>
    </row>
    <row r="4" spans="1:9" x14ac:dyDescent="0.25">
      <c r="A4" s="80" t="s">
        <v>564</v>
      </c>
      <c r="B4" s="80" t="s">
        <v>518</v>
      </c>
      <c r="C4" s="80">
        <v>29</v>
      </c>
      <c r="D4" s="80" t="s">
        <v>519</v>
      </c>
      <c r="E4" s="80" t="s">
        <v>519</v>
      </c>
      <c r="F4" s="15" t="s">
        <v>91</v>
      </c>
      <c r="G4" s="78"/>
      <c r="H4" s="78"/>
      <c r="I4" s="78"/>
    </row>
    <row r="5" spans="1:9" x14ac:dyDescent="0.25">
      <c r="A5" s="80" t="s">
        <v>595</v>
      </c>
      <c r="B5" s="15" t="s">
        <v>518</v>
      </c>
      <c r="C5" s="15">
        <v>6</v>
      </c>
      <c r="D5" s="15" t="s">
        <v>519</v>
      </c>
      <c r="E5" s="15" t="s">
        <v>519</v>
      </c>
      <c r="F5" s="15" t="s">
        <v>90</v>
      </c>
      <c r="G5" s="78"/>
      <c r="H5" s="78"/>
      <c r="I5" s="78"/>
    </row>
    <row r="6" spans="1:9" x14ac:dyDescent="0.25">
      <c r="A6" s="80" t="s">
        <v>567</v>
      </c>
      <c r="B6" s="15" t="s">
        <v>518</v>
      </c>
      <c r="C6" s="15">
        <v>5</v>
      </c>
      <c r="D6" s="15" t="s">
        <v>519</v>
      </c>
      <c r="E6" s="15" t="s">
        <v>519</v>
      </c>
      <c r="F6" s="15" t="s">
        <v>11</v>
      </c>
      <c r="G6" s="78"/>
      <c r="H6" s="78"/>
      <c r="I6" s="78"/>
    </row>
    <row r="7" spans="1:9" x14ac:dyDescent="0.25">
      <c r="A7" s="80" t="s">
        <v>570</v>
      </c>
      <c r="B7" s="80" t="s">
        <v>518</v>
      </c>
      <c r="C7" s="15">
        <v>10</v>
      </c>
      <c r="D7" s="80" t="s">
        <v>519</v>
      </c>
      <c r="E7" s="80" t="s">
        <v>519</v>
      </c>
      <c r="F7" s="15" t="s">
        <v>11</v>
      </c>
      <c r="G7" s="78"/>
      <c r="H7" s="78"/>
      <c r="I7" s="78"/>
    </row>
    <row r="8" spans="1:9" x14ac:dyDescent="0.25">
      <c r="A8" s="80" t="s">
        <v>573</v>
      </c>
      <c r="B8" s="15" t="s">
        <v>518</v>
      </c>
      <c r="C8" s="15">
        <v>24</v>
      </c>
      <c r="D8" s="15" t="s">
        <v>519</v>
      </c>
      <c r="E8" s="15" t="s">
        <v>519</v>
      </c>
      <c r="F8" s="15" t="s">
        <v>90</v>
      </c>
      <c r="G8" s="78"/>
      <c r="H8" s="78"/>
      <c r="I8" s="78"/>
    </row>
    <row r="9" spans="1:9" x14ac:dyDescent="0.25">
      <c r="A9" s="80" t="s">
        <v>576</v>
      </c>
      <c r="B9" s="15" t="s">
        <v>518</v>
      </c>
      <c r="C9" s="15">
        <v>2</v>
      </c>
      <c r="D9" s="15" t="s">
        <v>519</v>
      </c>
      <c r="E9" s="15" t="s">
        <v>519</v>
      </c>
      <c r="F9" s="15" t="s">
        <v>90</v>
      </c>
      <c r="G9" s="78"/>
      <c r="H9" s="78"/>
      <c r="I9" s="78"/>
    </row>
    <row r="10" spans="1:9" x14ac:dyDescent="0.25">
      <c r="A10" s="80" t="s">
        <v>579</v>
      </c>
      <c r="B10" s="80" t="s">
        <v>518</v>
      </c>
      <c r="C10" s="15">
        <v>4</v>
      </c>
      <c r="D10" s="80" t="s">
        <v>519</v>
      </c>
      <c r="E10" s="80" t="s">
        <v>519</v>
      </c>
      <c r="F10" s="15" t="s">
        <v>91</v>
      </c>
      <c r="G10" s="78"/>
      <c r="H10" s="78"/>
      <c r="I10" s="78"/>
    </row>
    <row r="11" spans="1:9" x14ac:dyDescent="0.25">
      <c r="A11" s="80" t="s">
        <v>586</v>
      </c>
      <c r="B11" s="15" t="s">
        <v>518</v>
      </c>
      <c r="C11" s="15">
        <v>5</v>
      </c>
      <c r="D11" s="15" t="s">
        <v>519</v>
      </c>
      <c r="E11" s="15" t="s">
        <v>519</v>
      </c>
      <c r="F11" s="15" t="s">
        <v>91</v>
      </c>
      <c r="G11" s="78"/>
      <c r="H11" s="78"/>
      <c r="I11" s="78"/>
    </row>
    <row r="12" spans="1:9" x14ac:dyDescent="0.25">
      <c r="A12" s="80" t="s">
        <v>590</v>
      </c>
      <c r="B12" s="15" t="s">
        <v>518</v>
      </c>
      <c r="C12" s="15">
        <v>18</v>
      </c>
      <c r="D12" s="15" t="s">
        <v>519</v>
      </c>
      <c r="E12" s="15" t="s">
        <v>519</v>
      </c>
      <c r="F12" s="15" t="s">
        <v>567</v>
      </c>
      <c r="G12" s="78"/>
      <c r="H12" s="78"/>
      <c r="I12" s="78"/>
    </row>
    <row r="13" spans="1:9" x14ac:dyDescent="0.25">
      <c r="A13" s="80" t="s">
        <v>594</v>
      </c>
      <c r="B13" s="80" t="s">
        <v>518</v>
      </c>
      <c r="C13" s="15">
        <v>18</v>
      </c>
      <c r="D13" s="80" t="s">
        <v>519</v>
      </c>
      <c r="E13" s="80" t="s">
        <v>519</v>
      </c>
      <c r="F13" s="15" t="s">
        <v>595</v>
      </c>
      <c r="G13" s="78"/>
      <c r="H13" s="78"/>
      <c r="I13" s="78"/>
    </row>
    <row r="14" spans="1:9" x14ac:dyDescent="0.25">
      <c r="A14" s="80" t="s">
        <v>715</v>
      </c>
      <c r="B14" s="15" t="s">
        <v>518</v>
      </c>
      <c r="C14" s="15">
        <v>2</v>
      </c>
      <c r="D14" s="15" t="s">
        <v>519</v>
      </c>
      <c r="E14" s="15" t="s">
        <v>519</v>
      </c>
      <c r="F14" s="15" t="s">
        <v>91</v>
      </c>
      <c r="G14" s="78"/>
      <c r="H14" s="78"/>
      <c r="I14" s="78"/>
    </row>
    <row r="15" spans="1:9" x14ac:dyDescent="0.25">
      <c r="A15" s="80" t="s">
        <v>555</v>
      </c>
      <c r="B15" s="80" t="s">
        <v>518</v>
      </c>
      <c r="C15" s="15">
        <v>4</v>
      </c>
      <c r="D15" s="15" t="s">
        <v>519</v>
      </c>
      <c r="E15" s="15" t="s">
        <v>519</v>
      </c>
      <c r="F15" s="15" t="s">
        <v>11</v>
      </c>
      <c r="G15" s="78"/>
      <c r="H15" s="78"/>
      <c r="I15" s="78"/>
    </row>
    <row r="16" spans="1:9" x14ac:dyDescent="0.25">
      <c r="A16" s="80" t="s">
        <v>601</v>
      </c>
      <c r="B16" s="80" t="s">
        <v>518</v>
      </c>
      <c r="C16" s="15">
        <v>3</v>
      </c>
      <c r="D16" s="80" t="s">
        <v>519</v>
      </c>
      <c r="E16" s="80" t="s">
        <v>519</v>
      </c>
      <c r="F16" s="15" t="s">
        <v>570</v>
      </c>
      <c r="G16" s="78"/>
      <c r="H16" s="78"/>
      <c r="I16" s="78"/>
    </row>
    <row r="17" spans="1:28" x14ac:dyDescent="0.25">
      <c r="A17" s="97" t="s">
        <v>605</v>
      </c>
      <c r="B17" s="97" t="s">
        <v>716</v>
      </c>
      <c r="C17" s="97">
        <v>1</v>
      </c>
      <c r="D17" s="15" t="s">
        <v>717</v>
      </c>
      <c r="E17" s="15">
        <v>1</v>
      </c>
      <c r="F17" s="15" t="s">
        <v>11</v>
      </c>
      <c r="G17" s="78"/>
      <c r="H17" s="78"/>
      <c r="I17" s="78"/>
    </row>
    <row r="18" spans="1:28" x14ac:dyDescent="0.25">
      <c r="A18" s="98"/>
      <c r="B18" s="98"/>
      <c r="C18" s="98"/>
      <c r="D18" s="15" t="s">
        <v>718</v>
      </c>
      <c r="E18" s="15">
        <v>1</v>
      </c>
      <c r="F18" s="15" t="s">
        <v>11</v>
      </c>
      <c r="G18" s="78"/>
      <c r="H18" s="78"/>
      <c r="I18" s="78"/>
    </row>
    <row r="19" spans="1:28" s="58" customFormat="1" x14ac:dyDescent="0.25">
      <c r="A19" s="98"/>
      <c r="B19" s="98"/>
      <c r="C19" s="98"/>
      <c r="D19" s="15" t="s">
        <v>719</v>
      </c>
      <c r="E19" s="15">
        <v>1</v>
      </c>
      <c r="F19" s="15" t="s">
        <v>555</v>
      </c>
      <c r="G19" s="78"/>
      <c r="H19" s="78"/>
      <c r="I19" s="7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99"/>
      <c r="B20" s="99"/>
      <c r="C20" s="99"/>
      <c r="D20" s="15" t="s">
        <v>720</v>
      </c>
      <c r="E20" s="15">
        <v>1</v>
      </c>
      <c r="F20" s="15" t="s">
        <v>91</v>
      </c>
      <c r="G20" s="78"/>
      <c r="H20" s="78"/>
      <c r="I20" s="78"/>
    </row>
    <row r="21" spans="1:28" x14ac:dyDescent="0.25">
      <c r="A21" s="97" t="s">
        <v>632</v>
      </c>
      <c r="B21" s="97" t="s">
        <v>716</v>
      </c>
      <c r="C21" s="97">
        <v>1</v>
      </c>
      <c r="D21" s="15" t="s">
        <v>721</v>
      </c>
      <c r="E21" s="15">
        <v>1</v>
      </c>
      <c r="F21" s="15" t="s">
        <v>11</v>
      </c>
      <c r="G21" s="78"/>
      <c r="H21" s="78"/>
      <c r="I21" s="78"/>
    </row>
    <row r="22" spans="1:28" x14ac:dyDescent="0.25">
      <c r="A22" s="98"/>
      <c r="B22" s="98"/>
      <c r="C22" s="98"/>
      <c r="D22" s="15" t="s">
        <v>722</v>
      </c>
      <c r="E22" s="15">
        <v>1</v>
      </c>
      <c r="F22" s="15" t="s">
        <v>90</v>
      </c>
      <c r="G22" s="78"/>
      <c r="H22" s="78"/>
      <c r="I22" s="78"/>
    </row>
    <row r="23" spans="1:28" x14ac:dyDescent="0.25">
      <c r="A23" s="98"/>
      <c r="B23" s="98"/>
      <c r="C23" s="98"/>
      <c r="D23" s="15" t="s">
        <v>723</v>
      </c>
      <c r="E23" s="15">
        <v>1</v>
      </c>
      <c r="F23" s="15" t="s">
        <v>90</v>
      </c>
      <c r="G23" s="78"/>
      <c r="H23" s="78"/>
      <c r="I23" s="78"/>
    </row>
    <row r="24" spans="1:28" x14ac:dyDescent="0.25">
      <c r="A24" s="98"/>
      <c r="B24" s="98"/>
      <c r="C24" s="98"/>
      <c r="D24" s="15" t="s">
        <v>724</v>
      </c>
      <c r="E24" s="15">
        <v>1</v>
      </c>
      <c r="F24" s="15" t="s">
        <v>90</v>
      </c>
      <c r="G24" s="78"/>
      <c r="H24" s="78"/>
      <c r="I24" s="78"/>
    </row>
    <row r="25" spans="1:28" x14ac:dyDescent="0.25">
      <c r="A25" s="98"/>
      <c r="B25" s="98"/>
      <c r="C25" s="98"/>
      <c r="D25" s="15" t="s">
        <v>725</v>
      </c>
      <c r="E25" s="15">
        <v>1</v>
      </c>
      <c r="F25" s="15" t="s">
        <v>11</v>
      </c>
      <c r="G25" s="78"/>
      <c r="H25" s="78"/>
      <c r="I25" s="78"/>
    </row>
    <row r="26" spans="1:28" x14ac:dyDescent="0.25">
      <c r="A26" s="98"/>
      <c r="B26" s="98"/>
      <c r="C26" s="98"/>
      <c r="D26" s="15" t="s">
        <v>726</v>
      </c>
      <c r="E26" s="15">
        <v>1</v>
      </c>
      <c r="F26" s="15" t="s">
        <v>11</v>
      </c>
      <c r="G26" s="78"/>
      <c r="H26" s="78"/>
      <c r="I26" s="78"/>
    </row>
    <row r="27" spans="1:28" x14ac:dyDescent="0.25">
      <c r="A27" s="98"/>
      <c r="B27" s="98"/>
      <c r="C27" s="98"/>
      <c r="D27" s="15" t="s">
        <v>727</v>
      </c>
      <c r="E27" s="15">
        <v>1</v>
      </c>
      <c r="F27" s="15" t="s">
        <v>11</v>
      </c>
      <c r="G27" s="78"/>
      <c r="H27" s="78"/>
      <c r="I27" s="78"/>
    </row>
    <row r="28" spans="1:28" x14ac:dyDescent="0.25">
      <c r="A28" s="98"/>
      <c r="B28" s="98"/>
      <c r="C28" s="98"/>
      <c r="D28" s="15" t="s">
        <v>728</v>
      </c>
      <c r="E28" s="15">
        <v>1</v>
      </c>
      <c r="F28" s="15" t="s">
        <v>11</v>
      </c>
      <c r="G28" s="78"/>
      <c r="H28" s="78"/>
      <c r="I28" s="78"/>
    </row>
    <row r="29" spans="1:28" x14ac:dyDescent="0.25">
      <c r="A29" s="98"/>
      <c r="B29" s="98"/>
      <c r="C29" s="98"/>
      <c r="D29" s="15" t="s">
        <v>729</v>
      </c>
      <c r="E29" s="15">
        <v>1</v>
      </c>
      <c r="F29" s="15" t="s">
        <v>11</v>
      </c>
      <c r="G29" s="78"/>
      <c r="H29" s="78"/>
      <c r="I29" s="78"/>
    </row>
    <row r="30" spans="1:28" x14ac:dyDescent="0.25">
      <c r="A30" s="98"/>
      <c r="B30" s="98"/>
      <c r="C30" s="98"/>
      <c r="D30" s="15" t="s">
        <v>730</v>
      </c>
      <c r="E30" s="15">
        <v>1</v>
      </c>
      <c r="F30" s="15" t="s">
        <v>11</v>
      </c>
      <c r="G30" s="78"/>
      <c r="H30" s="78"/>
      <c r="I30" s="78"/>
    </row>
    <row r="31" spans="1:28" x14ac:dyDescent="0.25">
      <c r="A31" s="98"/>
      <c r="B31" s="98"/>
      <c r="C31" s="98"/>
      <c r="D31" s="15" t="s">
        <v>731</v>
      </c>
      <c r="E31" s="15">
        <v>1</v>
      </c>
      <c r="F31" s="15" t="s">
        <v>715</v>
      </c>
      <c r="G31" s="78"/>
      <c r="H31" s="78"/>
      <c r="I31" s="78"/>
    </row>
    <row r="32" spans="1:28" x14ac:dyDescent="0.25">
      <c r="A32" s="98"/>
      <c r="B32" s="98"/>
      <c r="C32" s="98"/>
      <c r="D32" s="15" t="s">
        <v>732</v>
      </c>
      <c r="E32" s="15">
        <v>1</v>
      </c>
      <c r="F32" s="15" t="s">
        <v>576</v>
      </c>
      <c r="G32" s="78"/>
      <c r="H32" s="78"/>
      <c r="I32" s="78"/>
    </row>
    <row r="33" spans="1:9" x14ac:dyDescent="0.25">
      <c r="A33" s="99"/>
      <c r="B33" s="99"/>
      <c r="C33" s="99"/>
      <c r="D33" s="15" t="s">
        <v>733</v>
      </c>
      <c r="E33" s="15">
        <v>1</v>
      </c>
      <c r="F33" s="15" t="s">
        <v>555</v>
      </c>
      <c r="G33" s="78"/>
      <c r="H33" s="78"/>
      <c r="I33" s="78"/>
    </row>
    <row r="34" spans="1:9" x14ac:dyDescent="0.25">
      <c r="A34" s="97" t="s">
        <v>734</v>
      </c>
      <c r="B34" s="97" t="s">
        <v>716</v>
      </c>
      <c r="C34" s="97">
        <v>1</v>
      </c>
      <c r="D34" s="15" t="s">
        <v>735</v>
      </c>
      <c r="E34" s="15">
        <v>1</v>
      </c>
      <c r="F34" s="15" t="s">
        <v>91</v>
      </c>
      <c r="G34" s="78"/>
      <c r="H34" s="78"/>
      <c r="I34" s="78"/>
    </row>
    <row r="35" spans="1:9" x14ac:dyDescent="0.25">
      <c r="A35" s="98"/>
      <c r="B35" s="98"/>
      <c r="C35" s="98"/>
      <c r="D35" s="15" t="s">
        <v>736</v>
      </c>
      <c r="E35" s="15">
        <v>1</v>
      </c>
      <c r="F35" s="15" t="s">
        <v>91</v>
      </c>
      <c r="G35" s="78"/>
      <c r="H35" s="78"/>
      <c r="I35" s="78"/>
    </row>
    <row r="36" spans="1:9" x14ac:dyDescent="0.25">
      <c r="A36" s="98"/>
      <c r="B36" s="98"/>
      <c r="C36" s="98"/>
      <c r="D36" s="15" t="s">
        <v>737</v>
      </c>
      <c r="E36" s="15">
        <v>1</v>
      </c>
      <c r="F36" s="15" t="s">
        <v>91</v>
      </c>
      <c r="G36" s="78"/>
      <c r="H36" s="78"/>
      <c r="I36" s="78"/>
    </row>
    <row r="37" spans="1:9" x14ac:dyDescent="0.25">
      <c r="A37" s="99"/>
      <c r="B37" s="99"/>
      <c r="C37" s="99"/>
      <c r="D37" s="80" t="s">
        <v>738</v>
      </c>
      <c r="E37" s="80">
        <v>1</v>
      </c>
      <c r="F37" s="15" t="s">
        <v>11</v>
      </c>
      <c r="G37" s="78"/>
      <c r="H37" s="78"/>
      <c r="I37" s="78"/>
    </row>
    <row r="38" spans="1:9" x14ac:dyDescent="0.25">
      <c r="A38" s="80"/>
      <c r="B38" s="80"/>
      <c r="C38" s="80"/>
      <c r="D38" s="80"/>
      <c r="E38" s="80"/>
      <c r="F38" s="15"/>
      <c r="G38" s="78"/>
      <c r="H38" s="78"/>
      <c r="I38" s="78"/>
    </row>
    <row r="39" spans="1:9" x14ac:dyDescent="0.25">
      <c r="A39" s="80"/>
      <c r="B39" s="80"/>
      <c r="C39" s="80"/>
      <c r="D39" s="80"/>
      <c r="E39" s="80"/>
      <c r="F39" s="15"/>
      <c r="G39" s="78"/>
      <c r="H39" s="78"/>
      <c r="I39" s="78"/>
    </row>
    <row r="40" spans="1:9" x14ac:dyDescent="0.25">
      <c r="A40" s="81"/>
      <c r="B40" s="81"/>
      <c r="C40" s="81"/>
      <c r="D40" s="81"/>
      <c r="E40" s="81"/>
      <c r="F40" s="81"/>
      <c r="G40" s="78"/>
      <c r="H40" s="78"/>
      <c r="I40" s="78"/>
    </row>
    <row r="41" spans="1:9" x14ac:dyDescent="0.25">
      <c r="A41" s="82"/>
      <c r="B41" s="81"/>
      <c r="C41" s="81"/>
      <c r="D41" s="81"/>
      <c r="E41" s="81"/>
      <c r="F41" s="81"/>
      <c r="G41" s="78"/>
      <c r="H41" s="78"/>
      <c r="I41" s="78"/>
    </row>
    <row r="42" spans="1:9" x14ac:dyDescent="0.25">
      <c r="A42" s="81"/>
      <c r="B42" s="81"/>
      <c r="C42" s="81"/>
      <c r="D42" s="81"/>
      <c r="E42" s="81"/>
      <c r="F42" s="81"/>
      <c r="G42" s="78"/>
      <c r="H42" s="78"/>
      <c r="I42" s="78"/>
    </row>
    <row r="43" spans="1:9" x14ac:dyDescent="0.25">
      <c r="A43" s="81"/>
      <c r="B43" s="81"/>
      <c r="C43" s="81"/>
      <c r="D43" s="81"/>
      <c r="E43" s="81"/>
      <c r="F43" s="81"/>
      <c r="G43" s="78"/>
      <c r="H43" s="78"/>
      <c r="I43" s="78"/>
    </row>
    <row r="44" spans="1:9" x14ac:dyDescent="0.25">
      <c r="A44" s="81"/>
      <c r="B44" s="81"/>
      <c r="C44" s="81"/>
      <c r="D44" s="81"/>
      <c r="E44" s="81"/>
      <c r="F44" s="81"/>
      <c r="G44" s="78"/>
      <c r="H44" s="78"/>
      <c r="I44" s="78"/>
    </row>
    <row r="45" spans="1:9" x14ac:dyDescent="0.25">
      <c r="A45" s="78"/>
      <c r="B45" s="78"/>
      <c r="C45" s="78"/>
      <c r="D45" s="78"/>
      <c r="E45" s="78"/>
      <c r="F45" s="78"/>
      <c r="G45" s="78"/>
      <c r="H45" s="78"/>
      <c r="I45" s="78"/>
    </row>
    <row r="46" spans="1:9" x14ac:dyDescent="0.25">
      <c r="A46" s="78"/>
      <c r="B46" s="78"/>
      <c r="C46" s="78"/>
      <c r="D46" s="78"/>
      <c r="E46" s="78"/>
      <c r="F46" s="78"/>
      <c r="G46" s="78"/>
      <c r="H46" s="78"/>
      <c r="I46" s="78"/>
    </row>
    <row r="47" spans="1:9" x14ac:dyDescent="0.25">
      <c r="A47" s="78"/>
      <c r="B47" s="78"/>
      <c r="C47" s="78"/>
      <c r="D47" s="78"/>
      <c r="E47" s="78"/>
      <c r="F47" s="78"/>
      <c r="G47" s="78"/>
      <c r="H47" s="78"/>
      <c r="I47" s="78"/>
    </row>
  </sheetData>
  <mergeCells count="9">
    <mergeCell ref="A34:A37"/>
    <mergeCell ref="B34:B37"/>
    <mergeCell ref="C34:C37"/>
    <mergeCell ref="A17:A20"/>
    <mergeCell ref="B17:B20"/>
    <mergeCell ref="C17:C20"/>
    <mergeCell ref="A21:A33"/>
    <mergeCell ref="B21:B33"/>
    <mergeCell ref="C21:C3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O30"/>
  <sheetViews>
    <sheetView workbookViewId="0">
      <selection activeCell="B5" sqref="B5:C5"/>
    </sheetView>
  </sheetViews>
  <sheetFormatPr defaultRowHeight="15" x14ac:dyDescent="0.25"/>
  <cols>
    <col min="2" max="2" width="13.140625" bestFit="1" customWidth="1"/>
    <col min="3" max="3" width="12.7109375" bestFit="1" customWidth="1"/>
    <col min="4" max="4" width="12" bestFit="1" customWidth="1"/>
    <col min="5" max="5" width="12.5703125" bestFit="1" customWidth="1"/>
    <col min="6" max="6" width="10.42578125" customWidth="1"/>
    <col min="9" max="9" width="22.5703125" bestFit="1" customWidth="1"/>
    <col min="12" max="12" width="23.28515625" bestFit="1" customWidth="1"/>
    <col min="13" max="13" width="21.42578125" bestFit="1" customWidth="1"/>
    <col min="14" max="14" width="23.7109375" bestFit="1" customWidth="1"/>
    <col min="15" max="15" width="22.5703125" bestFit="1" customWidth="1"/>
  </cols>
  <sheetData>
    <row r="3" spans="2:15" ht="15.75" thickBot="1" x14ac:dyDescent="0.3"/>
    <row r="4" spans="2:15" ht="15.75" thickBot="1" x14ac:dyDescent="0.3">
      <c r="B4" s="102" t="s">
        <v>520</v>
      </c>
      <c r="C4" s="103"/>
      <c r="D4" s="103"/>
      <c r="E4" s="103"/>
      <c r="F4" s="104"/>
      <c r="G4" s="65"/>
      <c r="H4" s="65"/>
      <c r="J4" s="65"/>
      <c r="K4" s="102" t="s">
        <v>533</v>
      </c>
      <c r="L4" s="103"/>
      <c r="M4" s="103"/>
      <c r="N4" s="103"/>
      <c r="O4" s="104"/>
    </row>
    <row r="5" spans="2:15" ht="15.75" thickBot="1" x14ac:dyDescent="0.3">
      <c r="B5" s="105" t="s">
        <v>521</v>
      </c>
      <c r="C5" s="106"/>
      <c r="D5" s="107">
        <v>3</v>
      </c>
      <c r="E5" s="108"/>
      <c r="F5" s="109"/>
      <c r="K5" s="105" t="s">
        <v>534</v>
      </c>
      <c r="L5" s="110"/>
      <c r="M5" s="106"/>
      <c r="N5" s="100">
        <v>2</v>
      </c>
      <c r="O5" s="101"/>
    </row>
    <row r="6" spans="2:15" ht="15.75" thickBot="1" x14ac:dyDescent="0.3">
      <c r="B6" s="75" t="s">
        <v>522</v>
      </c>
      <c r="C6" s="66" t="s">
        <v>523</v>
      </c>
      <c r="D6" s="75" t="s">
        <v>524</v>
      </c>
      <c r="E6" s="66" t="s">
        <v>529</v>
      </c>
      <c r="F6" s="75" t="s">
        <v>525</v>
      </c>
      <c r="K6" s="75" t="s">
        <v>547</v>
      </c>
      <c r="L6" s="75" t="s">
        <v>536</v>
      </c>
      <c r="M6" s="75" t="s">
        <v>535</v>
      </c>
      <c r="N6" s="75" t="s">
        <v>537</v>
      </c>
      <c r="O6" s="75" t="s">
        <v>538</v>
      </c>
    </row>
    <row r="7" spans="2:15" x14ac:dyDescent="0.25">
      <c r="B7" s="67" t="s">
        <v>526</v>
      </c>
      <c r="C7" s="68" t="s">
        <v>527</v>
      </c>
      <c r="D7" s="68" t="s">
        <v>528</v>
      </c>
      <c r="E7" s="68" t="s">
        <v>530</v>
      </c>
      <c r="F7" s="69">
        <v>16</v>
      </c>
      <c r="K7" s="70" t="s">
        <v>548</v>
      </c>
      <c r="L7" s="8" t="s">
        <v>539</v>
      </c>
      <c r="M7" s="8" t="s">
        <v>540</v>
      </c>
      <c r="N7" s="8" t="s">
        <v>541</v>
      </c>
      <c r="O7" s="71" t="s">
        <v>542</v>
      </c>
    </row>
    <row r="8" spans="2:15" x14ac:dyDescent="0.25">
      <c r="B8" s="70" t="s">
        <v>526</v>
      </c>
      <c r="C8" s="8" t="s">
        <v>527</v>
      </c>
      <c r="D8" s="8" t="s">
        <v>528</v>
      </c>
      <c r="E8" s="8" t="s">
        <v>531</v>
      </c>
      <c r="F8" s="71">
        <v>16</v>
      </c>
      <c r="K8" s="70" t="s">
        <v>549</v>
      </c>
      <c r="L8" s="8" t="s">
        <v>543</v>
      </c>
      <c r="M8" s="8" t="s">
        <v>544</v>
      </c>
      <c r="N8" s="8" t="s">
        <v>545</v>
      </c>
      <c r="O8" s="71" t="s">
        <v>546</v>
      </c>
    </row>
    <row r="9" spans="2:15" x14ac:dyDescent="0.25">
      <c r="B9" s="70" t="s">
        <v>526</v>
      </c>
      <c r="C9" s="8" t="s">
        <v>527</v>
      </c>
      <c r="D9" s="8" t="s">
        <v>528</v>
      </c>
      <c r="E9" s="8" t="s">
        <v>532</v>
      </c>
      <c r="F9" s="71">
        <v>128</v>
      </c>
      <c r="K9" s="70"/>
      <c r="L9" s="8"/>
      <c r="M9" s="8"/>
      <c r="N9" s="8"/>
      <c r="O9" s="71"/>
    </row>
    <row r="10" spans="2:15" x14ac:dyDescent="0.25">
      <c r="B10" s="70"/>
      <c r="C10" s="8"/>
      <c r="D10" s="8"/>
      <c r="E10" s="8"/>
      <c r="F10" s="71"/>
      <c r="K10" s="70"/>
      <c r="L10" s="8"/>
      <c r="M10" s="8"/>
      <c r="N10" s="8"/>
      <c r="O10" s="71"/>
    </row>
    <row r="11" spans="2:15" x14ac:dyDescent="0.25">
      <c r="B11" s="70"/>
      <c r="C11" s="8"/>
      <c r="D11" s="8"/>
      <c r="E11" s="8"/>
      <c r="F11" s="71"/>
      <c r="K11" s="70"/>
      <c r="L11" s="8"/>
      <c r="M11" s="8"/>
      <c r="N11" s="8"/>
      <c r="O11" s="71"/>
    </row>
    <row r="12" spans="2:15" x14ac:dyDescent="0.25">
      <c r="B12" s="70"/>
      <c r="C12" s="8"/>
      <c r="D12" s="8"/>
      <c r="E12" s="8"/>
      <c r="F12" s="71"/>
      <c r="K12" s="70"/>
      <c r="L12" s="8"/>
      <c r="M12" s="8"/>
      <c r="N12" s="8"/>
      <c r="O12" s="71"/>
    </row>
    <row r="13" spans="2:15" x14ac:dyDescent="0.25">
      <c r="B13" s="70"/>
      <c r="C13" s="8"/>
      <c r="D13" s="8"/>
      <c r="E13" s="8"/>
      <c r="F13" s="71"/>
      <c r="K13" s="70"/>
      <c r="L13" s="8"/>
      <c r="M13" s="8"/>
      <c r="N13" s="8"/>
      <c r="O13" s="71"/>
    </row>
    <row r="14" spans="2:15" x14ac:dyDescent="0.25">
      <c r="B14" s="70"/>
      <c r="C14" s="8"/>
      <c r="D14" s="8"/>
      <c r="E14" s="8"/>
      <c r="F14" s="71"/>
      <c r="K14" s="70"/>
      <c r="L14" s="8"/>
      <c r="M14" s="8"/>
      <c r="N14" s="8"/>
      <c r="O14" s="71"/>
    </row>
    <row r="15" spans="2:15" x14ac:dyDescent="0.25">
      <c r="B15" s="70"/>
      <c r="C15" s="8"/>
      <c r="D15" s="8"/>
      <c r="E15" s="8"/>
      <c r="F15" s="71"/>
      <c r="I15" t="s">
        <v>551</v>
      </c>
      <c r="K15" s="70"/>
      <c r="L15" s="8"/>
      <c r="M15" s="8"/>
      <c r="N15" s="8"/>
      <c r="O15" s="71"/>
    </row>
    <row r="16" spans="2:15" x14ac:dyDescent="0.25">
      <c r="B16" s="70"/>
      <c r="C16" s="8"/>
      <c r="D16" s="8"/>
      <c r="E16" s="8"/>
      <c r="F16" s="71"/>
      <c r="K16" s="70"/>
      <c r="L16" s="8"/>
      <c r="M16" s="8"/>
      <c r="N16" s="8"/>
      <c r="O16" s="71"/>
    </row>
    <row r="17" spans="2:15" x14ac:dyDescent="0.25">
      <c r="B17" s="70"/>
      <c r="C17" s="8"/>
      <c r="D17" s="8"/>
      <c r="E17" s="8"/>
      <c r="F17" s="71"/>
      <c r="K17" s="70"/>
      <c r="L17" s="8"/>
      <c r="M17" s="8"/>
      <c r="N17" s="8"/>
      <c r="O17" s="71"/>
    </row>
    <row r="18" spans="2:15" x14ac:dyDescent="0.25">
      <c r="B18" s="70"/>
      <c r="C18" s="8"/>
      <c r="D18" s="8"/>
      <c r="E18" s="8"/>
      <c r="F18" s="71"/>
      <c r="K18" s="70"/>
      <c r="L18" s="8"/>
      <c r="M18" s="8"/>
      <c r="N18" s="8"/>
      <c r="O18" s="71"/>
    </row>
    <row r="19" spans="2:15" x14ac:dyDescent="0.25">
      <c r="B19" s="70"/>
      <c r="C19" s="8"/>
      <c r="D19" s="8"/>
      <c r="E19" s="8"/>
      <c r="F19" s="71"/>
      <c r="I19" t="s">
        <v>552</v>
      </c>
      <c r="K19" s="70"/>
      <c r="L19" s="8"/>
      <c r="M19" s="8"/>
      <c r="N19" s="8"/>
      <c r="O19" s="71"/>
    </row>
    <row r="20" spans="2:15" x14ac:dyDescent="0.25">
      <c r="B20" s="70"/>
      <c r="C20" s="8"/>
      <c r="D20" s="8"/>
      <c r="E20" s="8"/>
      <c r="F20" s="71"/>
      <c r="K20" s="70"/>
      <c r="L20" s="8"/>
      <c r="M20" s="8"/>
      <c r="N20" s="8"/>
      <c r="O20" s="71"/>
    </row>
    <row r="21" spans="2:15" x14ac:dyDescent="0.25">
      <c r="B21" s="70"/>
      <c r="C21" s="8"/>
      <c r="D21" s="8"/>
      <c r="E21" s="8"/>
      <c r="F21" s="71"/>
      <c r="K21" s="70"/>
      <c r="L21" s="8"/>
      <c r="M21" s="8"/>
      <c r="N21" s="8"/>
      <c r="O21" s="71"/>
    </row>
    <row r="22" spans="2:15" x14ac:dyDescent="0.25">
      <c r="B22" s="70"/>
      <c r="C22" s="8"/>
      <c r="D22" s="8"/>
      <c r="E22" s="8"/>
      <c r="F22" s="71"/>
      <c r="K22" s="70"/>
      <c r="L22" s="8"/>
      <c r="M22" s="8"/>
      <c r="N22" s="8"/>
      <c r="O22" s="71"/>
    </row>
    <row r="23" spans="2:15" x14ac:dyDescent="0.25">
      <c r="B23" s="70"/>
      <c r="C23" s="8"/>
      <c r="D23" s="8"/>
      <c r="E23" s="8"/>
      <c r="F23" s="71"/>
      <c r="K23" s="70"/>
      <c r="L23" s="8"/>
      <c r="M23" s="8"/>
      <c r="N23" s="8"/>
      <c r="O23" s="71"/>
    </row>
    <row r="24" spans="2:15" x14ac:dyDescent="0.25">
      <c r="B24" s="70"/>
      <c r="C24" s="8"/>
      <c r="D24" s="8"/>
      <c r="E24" s="8"/>
      <c r="F24" s="71"/>
      <c r="K24" s="70"/>
      <c r="L24" s="8"/>
      <c r="M24" s="8"/>
      <c r="N24" s="8"/>
      <c r="O24" s="71"/>
    </row>
    <row r="25" spans="2:15" x14ac:dyDescent="0.25">
      <c r="B25" s="70"/>
      <c r="C25" s="8"/>
      <c r="D25" s="8"/>
      <c r="E25" s="8"/>
      <c r="F25" s="71"/>
      <c r="K25" s="70"/>
      <c r="L25" s="8"/>
      <c r="M25" s="8"/>
      <c r="N25" s="8"/>
      <c r="O25" s="71"/>
    </row>
    <row r="26" spans="2:15" x14ac:dyDescent="0.25">
      <c r="B26" s="70"/>
      <c r="C26" s="8"/>
      <c r="D26" s="8"/>
      <c r="E26" s="8"/>
      <c r="F26" s="71"/>
      <c r="K26" s="70"/>
      <c r="L26" s="8"/>
      <c r="M26" s="8"/>
      <c r="N26" s="8"/>
      <c r="O26" s="71"/>
    </row>
    <row r="27" spans="2:15" x14ac:dyDescent="0.25">
      <c r="B27" s="70"/>
      <c r="C27" s="8"/>
      <c r="D27" s="8"/>
      <c r="E27" s="8"/>
      <c r="F27" s="71"/>
      <c r="K27" s="70"/>
      <c r="L27" s="8"/>
      <c r="M27" s="8"/>
      <c r="N27" s="8"/>
      <c r="O27" s="71"/>
    </row>
    <row r="28" spans="2:15" x14ac:dyDescent="0.25">
      <c r="B28" s="70"/>
      <c r="C28" s="8"/>
      <c r="D28" s="8"/>
      <c r="E28" s="8"/>
      <c r="F28" s="71"/>
      <c r="K28" s="70"/>
      <c r="L28" s="8"/>
      <c r="M28" s="8"/>
      <c r="N28" s="8"/>
      <c r="O28" s="71"/>
    </row>
    <row r="29" spans="2:15" x14ac:dyDescent="0.25">
      <c r="B29" s="70"/>
      <c r="C29" s="8"/>
      <c r="D29" s="8"/>
      <c r="E29" s="8"/>
      <c r="F29" s="71"/>
      <c r="K29" s="70"/>
      <c r="L29" s="8"/>
      <c r="M29" s="8"/>
      <c r="N29" s="8"/>
      <c r="O29" s="71"/>
    </row>
    <row r="30" spans="2:15" ht="15.75" thickBot="1" x14ac:dyDescent="0.3">
      <c r="B30" s="72"/>
      <c r="C30" s="73"/>
      <c r="D30" s="73"/>
      <c r="E30" s="73"/>
      <c r="F30" s="74"/>
      <c r="K30" s="72"/>
      <c r="L30" s="73"/>
      <c r="M30" s="73"/>
      <c r="N30" s="73"/>
      <c r="O30" s="74"/>
    </row>
  </sheetData>
  <mergeCells count="6">
    <mergeCell ref="N5:O5"/>
    <mergeCell ref="B4:F4"/>
    <mergeCell ref="B5:C5"/>
    <mergeCell ref="D5:F5"/>
    <mergeCell ref="K4:O4"/>
    <mergeCell ref="K5:M5"/>
  </mergeCells>
  <dataValidations count="1">
    <dataValidation type="list" allowBlank="1" showInputMessage="1" showErrorMessage="1" sqref="B7:B26">
      <formula1>"FLS_drive, EEP_drive"</formula1>
    </dataValidation>
  </dataValidation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783D0E-DE80-4E62-A177-0D80ABE310EF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fd2029d3-068e-4ab3-8565-f4d4653c54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Generate Sheet</vt:lpstr>
      <vt:lpstr>PortInterface</vt:lpstr>
      <vt:lpstr>BlockDescription</vt:lpstr>
      <vt:lpstr>MappingDataToBlock</vt:lpstr>
      <vt:lpstr>MemAbstractSbsx</vt:lpstr>
      <vt:lpstr>NvMConfig</vt:lpstr>
      <vt:lpstr>FEEConfig</vt:lpstr>
      <vt:lpstr>ExternalEEPROMConfig</vt:lpstr>
      <vt:lpstr>NvMExt</vt:lpstr>
      <vt:lpstr>UserDefined_DataTypes</vt:lpstr>
      <vt:lpstr>SharedNvMConfig</vt:lpstr>
    </vt:vector>
  </TitlesOfParts>
  <Company>Visteon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Jeffrey P, Joshua (J.J.)</cp:lastModifiedBy>
  <dcterms:created xsi:type="dcterms:W3CDTF">2016-06-27T10:49:47Z</dcterms:created>
  <dcterms:modified xsi:type="dcterms:W3CDTF">2021-04-14T13:46:35Z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
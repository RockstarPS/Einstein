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omments5.xml" ContentType="application/vnd.openxmlformats-officedocument.spreadsheetml.comments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6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7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8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29" codeName="{B6124F1A-AFFB-F854-7757-9A1D4C6FC43C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dhanshu\vAutosar\mos\cfg\v3.7\"/>
    </mc:Choice>
  </mc:AlternateContent>
  <xr:revisionPtr revIDLastSave="0" documentId="13_ncr:1_{5F66FB7B-AE4B-4455-AE87-4C758334CA69}" xr6:coauthVersionLast="47" xr6:coauthVersionMax="47" xr10:uidLastSave="{00000000-0000-0000-0000-000000000000}"/>
  <bookViews>
    <workbookView xWindow="-120" yWindow="-120" windowWidth="29040" windowHeight="15840" tabRatio="843" firstSheet="1" activeTab="7" xr2:uid="{00000000-000D-0000-FFFF-FFFF00000000}"/>
  </bookViews>
  <sheets>
    <sheet name="UserGuide" sheetId="20" r:id="rId1"/>
    <sheet name="Generate" sheetId="25" r:id="rId2"/>
    <sheet name="OsCore" sheetId="28" r:id="rId3"/>
    <sheet name="OsApplication" sheetId="27" r:id="rId4"/>
    <sheet name="MpuContainer" sheetId="26" r:id="rId5"/>
    <sheet name="Resource" sheetId="30" r:id="rId6"/>
    <sheet name="TrustedFunctions" sheetId="29" r:id="rId7"/>
    <sheet name="Task" sheetId="1" r:id="rId8"/>
    <sheet name="UI" sheetId="18" state="hidden" r:id="rId9"/>
    <sheet name="ISR" sheetId="6" r:id="rId10"/>
    <sheet name="Alarms" sheetId="2" r:id="rId11"/>
    <sheet name="SchedTable" sheetId="10" state="hidden" r:id="rId12"/>
    <sheet name="Rte_AlarmList" sheetId="12" r:id="rId13"/>
    <sheet name="Rte_EventList" sheetId="13" r:id="rId14"/>
    <sheet name="Stack" sheetId="15" state="hidden" r:id="rId15"/>
    <sheet name="MemMap" sheetId="22" r:id="rId16"/>
    <sheet name="Hooks" sheetId="21" r:id="rId17"/>
    <sheet name="Counters" sheetId="11" r:id="rId18"/>
    <sheet name="GenIRQ" sheetId="9" state="hidden" r:id="rId19"/>
    <sheet name="FIQ_Exception_Table" sheetId="14" state="hidden" r:id="rId20"/>
    <sheet name="Sheet3" sheetId="3" state="hidden" r:id="rId21"/>
    <sheet name="Sheet1" sheetId="4" state="hidden" r:id="rId22"/>
    <sheet name="Sheet2" sheetId="5" state="hidden" r:id="rId23"/>
    <sheet name="VectorTableARMCortexM4" sheetId="8" state="hidden" r:id="rId24"/>
    <sheet name="VectorTableARMCortexM7" sheetId="23" state="hidden" r:id="rId25"/>
    <sheet name="VectorTableTraveoII_B_H" sheetId="31" state="hidden" r:id="rId26"/>
    <sheet name="VectorTableTraveoII_C" sheetId="24" state="hidden" r:id="rId27"/>
    <sheet name="Revision" sheetId="19" r:id="rId28"/>
    <sheet name="VectorTableIMXRT" sheetId="32" state="hidden" r:id="rId29"/>
    <sheet name="VectorTableRH850D1x" sheetId="7" state="hidden" r:id="rId30"/>
    <sheet name="Sheet4" sheetId="16" state="hidden" r:id="rId31"/>
  </sheets>
  <functionGroups builtInGroupCount="19"/>
  <definedNames>
    <definedName name="_xlnm._FilterDatabase" localSheetId="7" hidden="1">Task!$A$12:$I$12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5" i="6" l="1"/>
  <c r="C3" i="29" l="1" a="1"/>
  <c r="C3" i="29" s="1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L53" i="26"/>
  <c r="M53" i="26" s="1"/>
  <c r="N53" i="26" s="1"/>
  <c r="O53" i="26" s="1"/>
  <c r="J53" i="26"/>
  <c r="K53" i="26" s="1"/>
  <c r="L52" i="26"/>
  <c r="M52" i="26" s="1"/>
  <c r="N52" i="26" s="1"/>
  <c r="O52" i="26" s="1"/>
  <c r="J52" i="26"/>
  <c r="K52" i="26" s="1"/>
  <c r="L51" i="26"/>
  <c r="M51" i="26" s="1"/>
  <c r="N51" i="26" s="1"/>
  <c r="O51" i="26" s="1"/>
  <c r="J51" i="26"/>
  <c r="K51" i="26" s="1"/>
  <c r="L50" i="26"/>
  <c r="M50" i="26" s="1"/>
  <c r="N50" i="26" s="1"/>
  <c r="O50" i="26" s="1"/>
  <c r="K50" i="26"/>
  <c r="J50" i="26"/>
  <c r="L49" i="26"/>
  <c r="M49" i="26" s="1"/>
  <c r="N49" i="26" s="1"/>
  <c r="O49" i="26" s="1"/>
  <c r="J49" i="26"/>
  <c r="K49" i="26" s="1"/>
  <c r="L48" i="26"/>
  <c r="M48" i="26" s="1"/>
  <c r="N48" i="26" s="1"/>
  <c r="O48" i="26" s="1"/>
  <c r="J48" i="26"/>
  <c r="K48" i="26" s="1"/>
  <c r="M47" i="26"/>
  <c r="N47" i="26" s="1"/>
  <c r="O47" i="26" s="1"/>
  <c r="L47" i="26"/>
  <c r="J47" i="26"/>
  <c r="K47" i="26" s="1"/>
  <c r="L46" i="26"/>
  <c r="M46" i="26" s="1"/>
  <c r="N46" i="26" s="1"/>
  <c r="O46" i="26" s="1"/>
  <c r="J46" i="26"/>
  <c r="K46" i="26" s="1"/>
  <c r="L45" i="26"/>
  <c r="M45" i="26" s="1"/>
  <c r="N45" i="26" s="1"/>
  <c r="O45" i="26" s="1"/>
  <c r="J45" i="26"/>
  <c r="K45" i="26" s="1"/>
  <c r="L44" i="26"/>
  <c r="M44" i="26" s="1"/>
  <c r="N44" i="26" s="1"/>
  <c r="O44" i="26" s="1"/>
  <c r="J44" i="26"/>
  <c r="K44" i="26" s="1"/>
  <c r="L43" i="26"/>
  <c r="M43" i="26" s="1"/>
  <c r="N43" i="26" s="1"/>
  <c r="O43" i="26" s="1"/>
  <c r="J43" i="26"/>
  <c r="K43" i="26" s="1"/>
  <c r="L42" i="26"/>
  <c r="M42" i="26" s="1"/>
  <c r="N42" i="26" s="1"/>
  <c r="O42" i="26" s="1"/>
  <c r="K42" i="26"/>
  <c r="J42" i="26"/>
  <c r="L41" i="26"/>
  <c r="M41" i="26" s="1"/>
  <c r="N41" i="26" s="1"/>
  <c r="O41" i="26" s="1"/>
  <c r="J41" i="26"/>
  <c r="K41" i="26" s="1"/>
  <c r="L40" i="26"/>
  <c r="M40" i="26" s="1"/>
  <c r="N40" i="26" s="1"/>
  <c r="O40" i="26" s="1"/>
  <c r="J40" i="26"/>
  <c r="K40" i="26" s="1"/>
  <c r="M39" i="26"/>
  <c r="N39" i="26" s="1"/>
  <c r="O39" i="26" s="1"/>
  <c r="L39" i="26"/>
  <c r="J39" i="26"/>
  <c r="K39" i="26" s="1"/>
  <c r="L38" i="26"/>
  <c r="M38" i="26" s="1"/>
  <c r="N38" i="26" s="1"/>
  <c r="O38" i="26" s="1"/>
  <c r="J38" i="26"/>
  <c r="K38" i="26" s="1"/>
  <c r="L37" i="26"/>
  <c r="M37" i="26" s="1"/>
  <c r="N37" i="26" s="1"/>
  <c r="O37" i="26" s="1"/>
  <c r="J37" i="26"/>
  <c r="K37" i="26" s="1"/>
  <c r="L36" i="26"/>
  <c r="M36" i="26" s="1"/>
  <c r="N36" i="26" s="1"/>
  <c r="O36" i="26" s="1"/>
  <c r="J36" i="26"/>
  <c r="K36" i="26" s="1"/>
  <c r="L35" i="26"/>
  <c r="M35" i="26" s="1"/>
  <c r="N35" i="26" s="1"/>
  <c r="O35" i="26" s="1"/>
  <c r="J35" i="26"/>
  <c r="K35" i="26" s="1"/>
  <c r="L34" i="26"/>
  <c r="M34" i="26" s="1"/>
  <c r="N34" i="26" s="1"/>
  <c r="O34" i="26" s="1"/>
  <c r="K34" i="26"/>
  <c r="J34" i="26"/>
  <c r="L33" i="26"/>
  <c r="M33" i="26" s="1"/>
  <c r="N33" i="26" s="1"/>
  <c r="O33" i="26" s="1"/>
  <c r="J33" i="26"/>
  <c r="K33" i="26" s="1"/>
  <c r="L32" i="26"/>
  <c r="M32" i="26" s="1"/>
  <c r="N32" i="26" s="1"/>
  <c r="O32" i="26" s="1"/>
  <c r="J32" i="26"/>
  <c r="K32" i="26" s="1"/>
  <c r="M31" i="26"/>
  <c r="N31" i="26" s="1"/>
  <c r="O31" i="26" s="1"/>
  <c r="L31" i="26"/>
  <c r="J31" i="26"/>
  <c r="K31" i="26" s="1"/>
  <c r="L30" i="26"/>
  <c r="M30" i="26" s="1"/>
  <c r="N30" i="26" s="1"/>
  <c r="O30" i="26" s="1"/>
  <c r="J30" i="26"/>
  <c r="K30" i="26" s="1"/>
  <c r="L29" i="26"/>
  <c r="M29" i="26" s="1"/>
  <c r="N29" i="26" s="1"/>
  <c r="O29" i="26" s="1"/>
  <c r="J29" i="26"/>
  <c r="K29" i="26" s="1"/>
  <c r="L28" i="26"/>
  <c r="M28" i="26" s="1"/>
  <c r="N28" i="26" s="1"/>
  <c r="O28" i="26" s="1"/>
  <c r="J28" i="26"/>
  <c r="K28" i="26" s="1"/>
  <c r="L27" i="26"/>
  <c r="M27" i="26" s="1"/>
  <c r="N27" i="26" s="1"/>
  <c r="O27" i="26" s="1"/>
  <c r="J27" i="26"/>
  <c r="K27" i="26" s="1"/>
  <c r="L26" i="26"/>
  <c r="M26" i="26" s="1"/>
  <c r="N26" i="26" s="1"/>
  <c r="O26" i="26" s="1"/>
  <c r="K26" i="26"/>
  <c r="J26" i="26"/>
  <c r="L25" i="26"/>
  <c r="M25" i="26" s="1"/>
  <c r="N25" i="26" s="1"/>
  <c r="O25" i="26" s="1"/>
  <c r="J25" i="26"/>
  <c r="K25" i="26" s="1"/>
  <c r="L24" i="26"/>
  <c r="M24" i="26" s="1"/>
  <c r="N24" i="26" s="1"/>
  <c r="O24" i="26" s="1"/>
  <c r="J24" i="26"/>
  <c r="K24" i="26" s="1"/>
  <c r="M23" i="26"/>
  <c r="N23" i="26" s="1"/>
  <c r="O23" i="26" s="1"/>
  <c r="L23" i="26"/>
  <c r="J23" i="26"/>
  <c r="K23" i="26" s="1"/>
  <c r="L22" i="26"/>
  <c r="M22" i="26" s="1"/>
  <c r="N22" i="26" s="1"/>
  <c r="O22" i="26" s="1"/>
  <c r="J22" i="26"/>
  <c r="K22" i="26" s="1"/>
  <c r="L21" i="26"/>
  <c r="M21" i="26" s="1"/>
  <c r="N21" i="26" s="1"/>
  <c r="O21" i="26" s="1"/>
  <c r="J21" i="26"/>
  <c r="K21" i="26" s="1"/>
  <c r="L20" i="26"/>
  <c r="M20" i="26" s="1"/>
  <c r="N20" i="26" s="1"/>
  <c r="O20" i="26" s="1"/>
  <c r="J20" i="26"/>
  <c r="K20" i="26" s="1"/>
  <c r="L19" i="26"/>
  <c r="M19" i="26" s="1"/>
  <c r="N19" i="26" s="1"/>
  <c r="O19" i="26" s="1"/>
  <c r="J19" i="26"/>
  <c r="K19" i="26" s="1"/>
  <c r="L18" i="26"/>
  <c r="M18" i="26" s="1"/>
  <c r="N18" i="26" s="1"/>
  <c r="O18" i="26" s="1"/>
  <c r="K18" i="26"/>
  <c r="J18" i="26"/>
  <c r="L17" i="26"/>
  <c r="M17" i="26" s="1"/>
  <c r="N17" i="26" s="1"/>
  <c r="O17" i="26" s="1"/>
  <c r="J17" i="26"/>
  <c r="K17" i="26" s="1"/>
  <c r="L16" i="26"/>
  <c r="M16" i="26" s="1"/>
  <c r="N16" i="26" s="1"/>
  <c r="O16" i="26" s="1"/>
  <c r="J16" i="26"/>
  <c r="K16" i="26" s="1"/>
  <c r="M15" i="26"/>
  <c r="N15" i="26" s="1"/>
  <c r="O15" i="26" s="1"/>
  <c r="L15" i="26"/>
  <c r="J15" i="26"/>
  <c r="K15" i="26" s="1"/>
  <c r="L14" i="26"/>
  <c r="M14" i="26" s="1"/>
  <c r="N14" i="26" s="1"/>
  <c r="O14" i="26" s="1"/>
  <c r="J14" i="26"/>
  <c r="K14" i="26" s="1"/>
  <c r="L13" i="26"/>
  <c r="M13" i="26" s="1"/>
  <c r="N13" i="26" s="1"/>
  <c r="O13" i="26" s="1"/>
  <c r="J13" i="26"/>
  <c r="K13" i="26" s="1"/>
  <c r="L12" i="26"/>
  <c r="M12" i="26" s="1"/>
  <c r="N12" i="26" s="1"/>
  <c r="O12" i="26" s="1"/>
  <c r="J12" i="26"/>
  <c r="K12" i="26" s="1"/>
  <c r="L11" i="26"/>
  <c r="M11" i="26" s="1"/>
  <c r="N11" i="26" s="1"/>
  <c r="O11" i="26" s="1"/>
  <c r="J11" i="26"/>
  <c r="K11" i="26" s="1"/>
  <c r="L10" i="26"/>
  <c r="M10" i="26" s="1"/>
  <c r="N10" i="26" s="1"/>
  <c r="O10" i="26" s="1"/>
  <c r="K10" i="26"/>
  <c r="J10" i="26"/>
  <c r="L9" i="26"/>
  <c r="M9" i="26" s="1"/>
  <c r="N9" i="26" s="1"/>
  <c r="O9" i="26" s="1"/>
  <c r="J9" i="26"/>
  <c r="K9" i="26" s="1"/>
  <c r="C5" i="1"/>
  <c r="B2" i="26" l="1" a="1"/>
  <c r="B2" i="26" s="1"/>
  <c r="B8" i="6"/>
  <c r="C6" i="1"/>
  <c r="C2" i="27"/>
  <c r="G6" i="1" a="1"/>
  <c r="G6" i="1" s="1"/>
  <c r="G5" i="1" a="1"/>
  <c r="G5" i="1" s="1"/>
  <c r="C2" i="30" l="1"/>
  <c r="C4" i="25" l="1"/>
  <c r="C5" i="25"/>
  <c r="C8" i="25"/>
  <c r="C9" i="25"/>
  <c r="C12" i="25"/>
  <c r="C10" i="25" l="1"/>
  <c r="C3" i="25" l="1"/>
  <c r="C11" i="25"/>
  <c r="H3" i="26"/>
  <c r="H2" i="26"/>
  <c r="F33" i="7" l="1"/>
  <c r="G33" i="7" s="1"/>
  <c r="F32" i="7"/>
  <c r="G32" i="7" s="1"/>
  <c r="F31" i="7"/>
  <c r="G31" i="7" s="1"/>
  <c r="F30" i="7"/>
  <c r="G30" i="7" s="1"/>
  <c r="F29" i="7"/>
  <c r="G29" i="7" s="1"/>
  <c r="F28" i="7"/>
  <c r="G28" i="7" s="1"/>
  <c r="F27" i="7"/>
  <c r="G27" i="7" s="1"/>
  <c r="F26" i="7"/>
  <c r="G26" i="7" s="1"/>
  <c r="F25" i="7"/>
  <c r="G25" i="7" s="1"/>
  <c r="F24" i="7"/>
  <c r="G24" i="7" s="1"/>
  <c r="F23" i="7"/>
  <c r="G23" i="7" s="1"/>
  <c r="F22" i="7"/>
  <c r="G22" i="7" s="1"/>
  <c r="F21" i="7"/>
  <c r="G21" i="7" s="1"/>
  <c r="F20" i="7"/>
  <c r="G20" i="7" s="1"/>
  <c r="F19" i="7"/>
  <c r="G19" i="7" s="1"/>
  <c r="F18" i="7"/>
  <c r="G18" i="7" s="1"/>
  <c r="F17" i="7"/>
  <c r="G17" i="7" s="1"/>
  <c r="F16" i="7"/>
  <c r="G16" i="7" s="1"/>
  <c r="F15" i="7"/>
  <c r="G15" i="7" s="1"/>
  <c r="F14" i="7"/>
  <c r="G14" i="7" s="1"/>
  <c r="F13" i="7"/>
  <c r="G13" i="7" s="1"/>
  <c r="F12" i="7"/>
  <c r="G12" i="7" s="1"/>
  <c r="F11" i="7"/>
  <c r="G11" i="7" s="1"/>
  <c r="F10" i="7"/>
  <c r="G10" i="7" s="1"/>
  <c r="F9" i="7"/>
  <c r="G9" i="7" s="1"/>
  <c r="F8" i="7"/>
  <c r="G8" i="7" s="1"/>
  <c r="F7" i="7"/>
  <c r="G7" i="7" s="1"/>
  <c r="F6" i="7"/>
  <c r="G6" i="7" s="1"/>
  <c r="F5" i="7"/>
  <c r="G5" i="7" s="1"/>
  <c r="F4" i="7"/>
  <c r="G4" i="7" s="1"/>
  <c r="F3" i="7"/>
  <c r="G3" i="7" s="1"/>
  <c r="F2" i="7"/>
  <c r="G2" i="7" s="1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Sukumaran, Sivasujith (S.)</author>
  </authors>
  <commentList>
    <comment ref="C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Sukumaran, Sivasujith (S.):</t>
        </r>
        <r>
          <rPr>
            <sz val="9"/>
            <color indexed="81"/>
            <rFont val="Tahoma"/>
            <family val="2"/>
          </rPr>
          <t xml:space="preserve">
Do not enter manually. This cell is automatically updated based on different Os Application names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Sukumaran, Sivasujith (S.)</author>
  </authors>
  <commentList>
    <comment ref="B2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Sukumaran, Sivasujith (S.):</t>
        </r>
        <r>
          <rPr>
            <sz val="9"/>
            <color indexed="81"/>
            <rFont val="Tahoma"/>
            <family val="2"/>
          </rPr>
          <t xml:space="preserve">
Do not enter manually. This cell is automatically updated based on different MPU Containers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Gorchev, Vladimir Olegov (V.)</author>
  </authors>
  <commentList>
    <comment ref="A5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Gorchev, Vladimir Olegov (V.):</t>
        </r>
        <r>
          <rPr>
            <sz val="9"/>
            <color indexed="81"/>
            <rFont val="Tahoma"/>
            <family val="2"/>
          </rPr>
          <t xml:space="preserve">
Resource ID (shall be consecutive)</t>
        </r>
      </text>
    </comment>
    <comment ref="B5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Gorchev, Vladimir Olegov (V.):</t>
        </r>
        <r>
          <rPr>
            <sz val="9"/>
            <color indexed="81"/>
            <rFont val="Tahoma"/>
            <family val="2"/>
          </rPr>
          <t xml:space="preserve">
Resource name</t>
        </r>
      </text>
    </comment>
    <comment ref="C5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Gorchev, Vladimir Olegov (V.):</t>
        </r>
        <r>
          <rPr>
            <sz val="9"/>
            <color indexed="81"/>
            <rFont val="Tahoma"/>
            <family val="2"/>
          </rPr>
          <t xml:space="preserve">
Task accessing the given resource</t>
        </r>
      </text>
    </comment>
    <comment ref="B6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Gorchev, Vladimir Olegov (V.):</t>
        </r>
        <r>
          <rPr>
            <sz val="9"/>
            <color indexed="81"/>
            <rFont val="Tahoma"/>
            <family val="2"/>
          </rPr>
          <t xml:space="preserve">
Reserved resource Id and name. Do not change!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Sukumaran, Sivasujith (S.)</author>
    <author>Jain, Sudhanshu (S.)</author>
    <author>Sebastian, Sherin (S.)</author>
  </authors>
  <commentList>
    <comment ref="C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Sukumaran, Sivasujith (S.):</t>
        </r>
        <r>
          <rPr>
            <sz val="9"/>
            <color indexed="81"/>
            <rFont val="Tahoma"/>
            <family val="2"/>
          </rPr>
          <t xml:space="preserve">
Do not update this cell manually. 
Keep updating the task details and the tool will automatically calculate the number of tasks.</t>
        </r>
      </text>
    </comment>
    <comment ref="G5" authorId="1" shapeId="0" xr:uid="{175771D1-856D-4452-9805-B805838C4CAB}">
      <text>
        <r>
          <rPr>
            <b/>
            <sz val="9"/>
            <color indexed="81"/>
            <rFont val="Tahoma"/>
            <family val="2"/>
          </rPr>
          <t>Jain, Sudhanshu (S.):</t>
        </r>
        <r>
          <rPr>
            <sz val="9"/>
            <color indexed="81"/>
            <rFont val="Tahoma"/>
            <family val="2"/>
          </rPr>
          <t xml:space="preserve">
No. of Unique Os Priorities. Do not update this cell manually.
</t>
        </r>
      </text>
    </comment>
    <comment ref="C6" authorId="1" shapeId="0" xr:uid="{7E862C3A-BB65-4DFA-B206-C83DCB3ADBD8}">
      <text>
        <r>
          <rPr>
            <b/>
            <sz val="9"/>
            <color indexed="81"/>
            <rFont val="Tahoma"/>
            <family val="2"/>
          </rPr>
          <t>Jain, Sudhanshu (S.):</t>
        </r>
        <r>
          <rPr>
            <sz val="9"/>
            <color indexed="81"/>
            <rFont val="Tahoma"/>
            <family val="2"/>
          </rPr>
          <t xml:space="preserve">
No of Alarms. Filled automatically from Rte_AlarmList sheet. Do not update this formula.</t>
        </r>
      </text>
    </comment>
    <comment ref="G6" authorId="1" shapeId="0" xr:uid="{F0B88A0C-BD59-446C-9C65-A5749BCC1485}">
      <text>
        <r>
          <rPr>
            <b/>
            <sz val="9"/>
            <color indexed="81"/>
            <rFont val="Tahoma"/>
            <family val="2"/>
          </rPr>
          <t>Jain, Sudhanshu (S.):</t>
        </r>
        <r>
          <rPr>
            <sz val="9"/>
            <color indexed="81"/>
            <rFont val="Tahoma"/>
            <family val="2"/>
          </rPr>
          <t xml:space="preserve">
Total Number of Unique Stacks. Do not update manually. Update the this cell stack Name col with correct values.</t>
        </r>
      </text>
    </comment>
    <comment ref="I12" authorId="2" shapeId="0" xr:uid="{00000000-0006-0000-0700-000002000000}">
      <text>
        <r>
          <rPr>
            <b/>
            <sz val="9"/>
            <color indexed="81"/>
            <rFont val="Tahoma"/>
            <family val="2"/>
          </rPr>
          <t>For Extended Tasks, this parameter shall be configured as "1".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Sivasujith, Sukumaran (S.)</author>
    <author>Sukumaran, Sivasujith (S.)</author>
  </authors>
  <commentList>
    <comment ref="I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Sivasujith, Sukumaran (S.):</t>
        </r>
        <r>
          <rPr>
            <sz val="9"/>
            <color indexed="81"/>
            <rFont val="Tahoma"/>
            <family val="2"/>
          </rPr>
          <t xml:space="preserve">
Add More Stack Levels based on need.
Assign one of these stacks to the configured ISRs
</t>
        </r>
      </text>
    </comment>
    <comment ref="B7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Sivasujith, Sukumaran (S.):</t>
        </r>
        <r>
          <rPr>
            <sz val="9"/>
            <color indexed="81"/>
            <rFont val="Tahoma"/>
            <family val="2"/>
          </rPr>
          <t xml:space="preserve">
Cat1 ISR are not supported in mOS</t>
        </r>
      </text>
    </comment>
    <comment ref="C10" authorId="0" shapeId="0" xr:uid="{00000000-0006-0000-0900-000003000000}">
      <text>
        <r>
          <rPr>
            <sz val="11"/>
            <color theme="1"/>
            <rFont val="Calibri"/>
            <family val="2"/>
            <scheme val="minor"/>
          </rPr>
          <t>This is the system interrupt number.
This cell need to be filled with the interrupt source number.
For ARM core interrupts fill this cell as '0'</t>
        </r>
      </text>
    </comment>
    <comment ref="F10" authorId="1" shapeId="0" xr:uid="{00000000-0006-0000-0900-000004000000}">
      <text>
        <r>
          <rPr>
            <b/>
            <sz val="9"/>
            <color indexed="81"/>
            <rFont val="Tahoma"/>
            <family val="2"/>
          </rPr>
          <t>This field is applicable only for Cortex M7
CortexM7: Fill this cell with the value 0 to 7 to map any peripheral interrupts to one of the 8 Cpu User Interrupts
For other MCUs this column shall be left blank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Sivasujith, Sukumaran (S.)</author>
    <author>Sukumaran, Sivasujith (S.)</author>
  </authors>
  <commentList>
    <comment ref="C10" authorId="0" shapeId="0" xr:uid="{00000000-0006-0000-1200-000001000000}">
      <text/>
    </comment>
    <comment ref="F10" authorId="1" shapeId="0" xr:uid="{00000000-0006-0000-1200-000002000000}">
      <text>
        <r>
          <rPr>
            <b/>
            <sz val="9"/>
            <color indexed="81"/>
            <rFont val="Tahoma"/>
            <family val="2"/>
          </rPr>
          <t>This field is applicable only for Cortex M7
CortexM7: Fill this cell with the value 0 to 7 to map any peripheral interrupts to one of the 8 Cpu User Interrupts
For other MCUs this column shall be left blank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<sst xmlns="http://schemas.openxmlformats.org/spreadsheetml/2006/main" count="8371" uniqueCount="3716">
  <si>
    <t>Number Of Tasks</t>
  </si>
  <si>
    <t>Number Of Alarms</t>
  </si>
  <si>
    <t>System Stack Start Address</t>
  </si>
  <si>
    <t>Stack Start Address</t>
  </si>
  <si>
    <t>Stack Size</t>
  </si>
  <si>
    <t>Task Priority</t>
  </si>
  <si>
    <t>Task Category</t>
  </si>
  <si>
    <t>Non-Preemptive</t>
  </si>
  <si>
    <t>CPU</t>
  </si>
  <si>
    <t>AutoStart</t>
  </si>
  <si>
    <t>No</t>
  </si>
  <si>
    <t>Yes</t>
  </si>
  <si>
    <t>Conformance Class</t>
  </si>
  <si>
    <t>ECC1</t>
  </si>
  <si>
    <t xml:space="preserve">OsTask_10msCAN     </t>
  </si>
  <si>
    <t xml:space="preserve">OsTask_10msEcuM    </t>
  </si>
  <si>
    <t xml:space="preserve">OsTask_20msHP      </t>
  </si>
  <si>
    <t xml:space="preserve">OsTask_50ms        </t>
  </si>
  <si>
    <t xml:space="preserve">OsTask_100ms       </t>
  </si>
  <si>
    <t xml:space="preserve">AppTask_10msLP     </t>
  </si>
  <si>
    <t xml:space="preserve">OsTask_8ms         </t>
  </si>
  <si>
    <t xml:space="preserve">OsTask_RteEvent    </t>
  </si>
  <si>
    <t xml:space="preserve">OsTask_Gdt         </t>
  </si>
  <si>
    <t xml:space="preserve">StartupTwo         </t>
  </si>
  <si>
    <t xml:space="preserve">OsTask_2ms         </t>
  </si>
  <si>
    <t xml:space="preserve">OsTask_20msMP      </t>
  </si>
  <si>
    <t xml:space="preserve">OsTask_30ms        </t>
  </si>
  <si>
    <t xml:space="preserve">OsTask_30msSnd     </t>
  </si>
  <si>
    <t xml:space="preserve">OsTask_StackMesure </t>
  </si>
  <si>
    <t>Alarm Id</t>
  </si>
  <si>
    <t>Alarm Action</t>
  </si>
  <si>
    <t>Event Id</t>
  </si>
  <si>
    <t>Alarm Callback</t>
  </si>
  <si>
    <t>Alarm Task Id</t>
  </si>
  <si>
    <t>NULL</t>
  </si>
  <si>
    <t>Configure Alarms</t>
  </si>
  <si>
    <t>ALARM_SET_EVENT_ACTION</t>
  </si>
  <si>
    <t>ALARM_ACTIVATE_TASK_ACTION</t>
  </si>
  <si>
    <t>Rte_Ev_Cyclic2_AppTask_10msLP_0_10ms</t>
  </si>
  <si>
    <t>Rte_Ev_Cyclic2_OsTask_100ms_0_1s</t>
  </si>
  <si>
    <t>Rte_Ev_Cyclic2_OsTask_10msCAN_0_10ms</t>
  </si>
  <si>
    <t>Rte_Ev_Cyclic2_OsTask_10msCAN_0_20ms</t>
  </si>
  <si>
    <t>Rte_Ev_Cyclic2_OsTask_10msEcuM_0_10ms</t>
  </si>
  <si>
    <t>Rte_Ev_Cyclic_AppTask_10msLP_0_10ms</t>
  </si>
  <si>
    <t>Rte_Ev_Run_CDD_Test_CDD_Test_WdgM_Stub</t>
  </si>
  <si>
    <t>Rte_Ev_Run_FuelMdlWrp_CFuelMdl_Impl_MainFunction</t>
  </si>
  <si>
    <t>Rte_Ev_Cyclic_OsTask_100ms_0_100ms</t>
  </si>
  <si>
    <t>Rte_Ev_Cyclic_OsTask_10msCAN_0_10ms</t>
  </si>
  <si>
    <t>Rte_Ev_Cyclic_OsTask_10msEcuM_0_10ms</t>
  </si>
  <si>
    <t>Rte_Ev_Cyclic_OsTask_20msHP_0_20ms</t>
  </si>
  <si>
    <t>Rte_Ev_Cyclic_OsTask_50ms_0_50ms</t>
  </si>
  <si>
    <t>Rte_Ev_Cyclic_OsTask_Gdt_0_16ms</t>
  </si>
  <si>
    <t>Rte_Ev_Run_WdgM_WdgM_MainFunction</t>
  </si>
  <si>
    <t>OsTask_10msCAN</t>
  </si>
  <si>
    <t>OsTask_10msEcuM</t>
  </si>
  <si>
    <t>OsTask_20msHP</t>
  </si>
  <si>
    <t>OsTask_50ms</t>
  </si>
  <si>
    <t>OsTask_100ms</t>
  </si>
  <si>
    <t>AppTask_10msLP</t>
  </si>
  <si>
    <t>OsTask_8ms</t>
  </si>
  <si>
    <t>OsTask_RteEvent</t>
  </si>
  <si>
    <t>OsTask_Gdt</t>
  </si>
  <si>
    <t>StartupTwo</t>
  </si>
  <si>
    <t>OsTask_2ms</t>
  </si>
  <si>
    <t>OsTask_20msMP</t>
  </si>
  <si>
    <t>OsTask_30ms</t>
  </si>
  <si>
    <t>OsTask_30msSnd</t>
  </si>
  <si>
    <t>OsTask_StackMesure</t>
  </si>
  <si>
    <t>Preemptive</t>
  </si>
  <si>
    <t>osdOsTask_10msCAN_TOP</t>
  </si>
  <si>
    <t>osdOsTask_10msEcuM_TOP</t>
  </si>
  <si>
    <t>osdOsTask_20msHP_TOP</t>
  </si>
  <si>
    <t>osdOsTask_50ms_TOP</t>
  </si>
  <si>
    <t>osdOsTask_100ms_TOP</t>
  </si>
  <si>
    <t>osdAppTask_10msLP_TOP</t>
  </si>
  <si>
    <t>osdOsTask_8ms_TOP</t>
  </si>
  <si>
    <t>osdOsTask_RteEvent_TOP</t>
  </si>
  <si>
    <t>osdOsTask_Gdt_TOP</t>
  </si>
  <si>
    <t>osdStartupTwo_TOP</t>
  </si>
  <si>
    <t>osdOsTask_2ms_TOP</t>
  </si>
  <si>
    <t>osdOsTask_20msMP_TOP</t>
  </si>
  <si>
    <t>osdOsTask_30ms_TOP</t>
  </si>
  <si>
    <t>osdOsTask_30msSnd_TOP</t>
  </si>
  <si>
    <t>osdOsTask_StackMesure_TOP</t>
  </si>
  <si>
    <t>osTaskStackOsApplication0</t>
  </si>
  <si>
    <t>osTaskStackOsApplication1</t>
  </si>
  <si>
    <t>osTaskStackOsApplication2</t>
  </si>
  <si>
    <t>osTaskStackOsApplication3</t>
  </si>
  <si>
    <t>osTaskStackOsApplication4</t>
  </si>
  <si>
    <t>osTaskStackOsApplication5</t>
  </si>
  <si>
    <t>osTaskStackOsApplication6</t>
  </si>
  <si>
    <t>osTaskStackOsApplication7</t>
  </si>
  <si>
    <t>osTaskStackOsApplication8</t>
  </si>
  <si>
    <t>osTaskStackOsApplication9</t>
  </si>
  <si>
    <t>osTaskStackOsApplication10</t>
  </si>
  <si>
    <t>osTaskStackOsApplication11</t>
  </si>
  <si>
    <t>osTaskStackOsApplication12</t>
  </si>
  <si>
    <t>osTaskStackOsApplication13</t>
  </si>
  <si>
    <t>osTaskStackOsApplication14</t>
  </si>
  <si>
    <t xml:space="preserve"> </t>
  </si>
  <si>
    <t xml:space="preserve"> /* Rte_Al_TE</t>
  </si>
  <si>
    <t xml:space="preserve"> /* Rte_Al_TE2_Os</t>
  </si>
  <si>
    <t xml:space="preserve"> /* Rte_Al_T</t>
  </si>
  <si>
    <t xml:space="preserve"> /* Rte_Al_TE_</t>
  </si>
  <si>
    <t xml:space="preserve"> /* alarmaction != SETEVENT */</t>
  </si>
  <si>
    <t xml:space="preserve"> /* Rte_Al_</t>
  </si>
  <si>
    <t xml:space="preserve"> /* Rte_Al_TE_O</t>
  </si>
  <si>
    <t>Rte_Ev_Cyclic_OsTask_50ms_0_100ms</t>
  </si>
  <si>
    <t xml:space="preserve"> /* Rte_Al_TE_Os</t>
  </si>
  <si>
    <t xml:space="preserve"> /* Rte_Al_TE_OsT</t>
  </si>
  <si>
    <t xml:space="preserve"> /* Rte_Al_TE_OsTa</t>
  </si>
  <si>
    <t xml:space="preserve"> /* Rte_Al_TE_Wd</t>
  </si>
  <si>
    <t>osdTaskTypeNonPreempt,</t>
  </si>
  <si>
    <t>osdTaskTypePreempt,</t>
  </si>
  <si>
    <t>&amp;OsTask_10msCANfunc,</t>
  </si>
  <si>
    <t>&amp;OsTask_10msEcuMfunc,</t>
  </si>
  <si>
    <t>&amp;OsTask_20msHPfunc,</t>
  </si>
  <si>
    <t>&amp;OsTask_50msfunc,</t>
  </si>
  <si>
    <t>&amp;OsTask_100msfunc,</t>
  </si>
  <si>
    <t>&amp;AppTask_10msLPfunc,</t>
  </si>
  <si>
    <t>&amp;OsTask_8msfunc,</t>
  </si>
  <si>
    <t>&amp;OsTask_RteEventfunc,</t>
  </si>
  <si>
    <t>&amp;OsTask_Gdtfunc,</t>
  </si>
  <si>
    <t>&amp;osSystemExtendedTaskfunc,</t>
  </si>
  <si>
    <t>&amp;StartupTwofunc,</t>
  </si>
  <si>
    <t>&amp;OsTask_2msfunc,</t>
  </si>
  <si>
    <t>&amp;OsTask_20msMPfunc,</t>
  </si>
  <si>
    <t>&amp;OsTask_30msfunc,</t>
  </si>
  <si>
    <t>&amp;OsTask_30msSndfunc,</t>
  </si>
  <si>
    <t>&amp;OsTask_StackMesurefunc,</t>
  </si>
  <si>
    <t>&amp;osSystemBasicTaskfunc,</t>
  </si>
  <si>
    <t>Number of Cat1 ISRs</t>
  </si>
  <si>
    <t>Number of Cat2 ISRs</t>
  </si>
  <si>
    <t>Logical No</t>
  </si>
  <si>
    <t>Interrupt Vector</t>
  </si>
  <si>
    <t>IRQ #</t>
  </si>
  <si>
    <t>Priority</t>
  </si>
  <si>
    <t>Category</t>
  </si>
  <si>
    <t>Interrupt Nested</t>
  </si>
  <si>
    <t>Application ISR Api</t>
  </si>
  <si>
    <t>Cat2</t>
  </si>
  <si>
    <t>osTimerInterruptfunc</t>
  </si>
  <si>
    <t>Stack</t>
  </si>
  <si>
    <t>osISRUnhandledException</t>
  </si>
  <si>
    <t>/* #0: not configured */</t>
  </si>
  <si>
    <t>/* #1: not configured */</t>
  </si>
  <si>
    <t>/* #2: not configured */</t>
  </si>
  <si>
    <t>/* #3: not configured */</t>
  </si>
  <si>
    <t>/* #4: not configured */</t>
  </si>
  <si>
    <t>/* #5: not configured */</t>
  </si>
  <si>
    <t>/* #6: not configured */</t>
  </si>
  <si>
    <t>/* #7: not configured */</t>
  </si>
  <si>
    <t>/* #8: not configured */</t>
  </si>
  <si>
    <t>/* #9: not configured */</t>
  </si>
  <si>
    <t>/* #10: not configured */</t>
  </si>
  <si>
    <t>/* #11: not configured */</t>
  </si>
  <si>
    <t>/* #12: not configured */</t>
  </si>
  <si>
    <t>/* #13: not configured */</t>
  </si>
  <si>
    <t>/* #14: not configured */</t>
  </si>
  <si>
    <t>/* #16: not configured */</t>
  </si>
  <si>
    <t>/* #17: not configured */</t>
  </si>
  <si>
    <t>/* #18: not configured */</t>
  </si>
  <si>
    <t>/* #19: not configured */</t>
  </si>
  <si>
    <t>/* #20: not configured */</t>
  </si>
  <si>
    <t>/* #21: not configured */</t>
  </si>
  <si>
    <t>/* #22: not configured */</t>
  </si>
  <si>
    <t>/* #23: not configured */</t>
  </si>
  <si>
    <t>/* #24: not configured */</t>
  </si>
  <si>
    <t>/* #25: not configured */</t>
  </si>
  <si>
    <t>/* #26: not configured */</t>
  </si>
  <si>
    <t>/* #27: not configured */</t>
  </si>
  <si>
    <t>/* #28: not configured */</t>
  </si>
  <si>
    <t>/* #29: not configured */</t>
  </si>
  <si>
    <t>/* #30: not configured */</t>
  </si>
  <si>
    <t>/* #31: not configured */</t>
  </si>
  <si>
    <t>/* #32: not configured */</t>
  </si>
  <si>
    <t>/* #33: not configured */</t>
  </si>
  <si>
    <t>/* #34: not configured */</t>
  </si>
  <si>
    <t>/* #35: not configured */</t>
  </si>
  <si>
    <t>/* #36: not configured */</t>
  </si>
  <si>
    <t>/* #37: not configured */</t>
  </si>
  <si>
    <t>/* #38: not configured */</t>
  </si>
  <si>
    <t>/* #39: not configured */</t>
  </si>
  <si>
    <t>/* #40: not configured */</t>
  </si>
  <si>
    <t>/* #41: not configured */</t>
  </si>
  <si>
    <t>/* #42: not configured */</t>
  </si>
  <si>
    <t>/* #43: not configured */</t>
  </si>
  <si>
    <t>/* #44: not configured */</t>
  </si>
  <si>
    <t>/* #45: not configured */</t>
  </si>
  <si>
    <t>/* #46: not configured */</t>
  </si>
  <si>
    <t>/* #47: not configured */</t>
  </si>
  <si>
    <t>/* #48: not configured */</t>
  </si>
  <si>
    <t>/* #49: not configured */</t>
  </si>
  <si>
    <t>/* #50: not configured */</t>
  </si>
  <si>
    <t>/* #51: not configured */</t>
  </si>
  <si>
    <t>/* #53: not configured */</t>
  </si>
  <si>
    <t>/* #54: not configured */</t>
  </si>
  <si>
    <t>/* #55: not configured */</t>
  </si>
  <si>
    <t>/* #56: not configured */</t>
  </si>
  <si>
    <t>/* #57: not configured */</t>
  </si>
  <si>
    <t>/* #58: not configured */</t>
  </si>
  <si>
    <t>/* #59: not configured */</t>
  </si>
  <si>
    <t>/* #60: not configured */</t>
  </si>
  <si>
    <t>/* #61: not configured */</t>
  </si>
  <si>
    <t>/* #62: not configured */</t>
  </si>
  <si>
    <t>/* #63: not configured */</t>
  </si>
  <si>
    <t>/* #64: not configured */</t>
  </si>
  <si>
    <t>/* #65: not configured */</t>
  </si>
  <si>
    <t>/* #66: not configured */</t>
  </si>
  <si>
    <t>/* #67: not configured */</t>
  </si>
  <si>
    <t>/* #68: not configured */</t>
  </si>
  <si>
    <t>/* #69: not configured */</t>
  </si>
  <si>
    <t>/* #70: not configured */</t>
  </si>
  <si>
    <t>/* #71: not configured */</t>
  </si>
  <si>
    <t>/* #72: not configured */</t>
  </si>
  <si>
    <t>/* #73: not configured */</t>
  </si>
  <si>
    <t>/* #74: not configured */</t>
  </si>
  <si>
    <t>/* #75: not configured */</t>
  </si>
  <si>
    <t>/* #77: not configured */</t>
  </si>
  <si>
    <t>/* #78: not configured */</t>
  </si>
  <si>
    <t>/* #79: not configured */</t>
  </si>
  <si>
    <t>/* #80: not configured */</t>
  </si>
  <si>
    <t>/* #81: not configured */</t>
  </si>
  <si>
    <t>/* #82: not configured */</t>
  </si>
  <si>
    <t>/* #83: not configured */</t>
  </si>
  <si>
    <t>/* #84: not configured */</t>
  </si>
  <si>
    <t>/* #85: not configured */</t>
  </si>
  <si>
    <t>/* #86: not configured */</t>
  </si>
  <si>
    <t>/* #87: not configured */</t>
  </si>
  <si>
    <t>/* #88: not configured */</t>
  </si>
  <si>
    <t>/* #89: not configured */</t>
  </si>
  <si>
    <t>/* #90: not configured */</t>
  </si>
  <si>
    <t>/* #91: not configured */</t>
  </si>
  <si>
    <t>/* #92: not configured */</t>
  </si>
  <si>
    <t>/* #93: not configured */</t>
  </si>
  <si>
    <t>/* #94: not configured */</t>
  </si>
  <si>
    <t>/* #95: not configured */</t>
  </si>
  <si>
    <t>/* #96: not configured */</t>
  </si>
  <si>
    <t>/* #97: not configured */</t>
  </si>
  <si>
    <t>/* #98: not configured */</t>
  </si>
  <si>
    <t>/* #99: not configured */</t>
  </si>
  <si>
    <t>/* #100: not configured */</t>
  </si>
  <si>
    <t>/* #101: not configured */</t>
  </si>
  <si>
    <t>/* #102: not configured */</t>
  </si>
  <si>
    <t>/* #103: not configured */</t>
  </si>
  <si>
    <t>/* #104: not configured */</t>
  </si>
  <si>
    <t>/* #105: not configured */</t>
  </si>
  <si>
    <t>/* #106: not configured */</t>
  </si>
  <si>
    <t>/* #107: not configured */</t>
  </si>
  <si>
    <t>/* #108: not configured */</t>
  </si>
  <si>
    <t>/* #109: not configured */</t>
  </si>
  <si>
    <t>/* #110: not configured */</t>
  </si>
  <si>
    <t>/* #111: not configured */</t>
  </si>
  <si>
    <t>/* #112: not configured */</t>
  </si>
  <si>
    <t>/* #114: not configured */</t>
  </si>
  <si>
    <t>/* #115: not configured */</t>
  </si>
  <si>
    <t>/* #116: not configured */</t>
  </si>
  <si>
    <t>/* #117: not configured */</t>
  </si>
  <si>
    <t>/* #118: not configured */</t>
  </si>
  <si>
    <t>/* #119: not configured */</t>
  </si>
  <si>
    <t>/* #120: not configured */</t>
  </si>
  <si>
    <t>/* #121: not configured */</t>
  </si>
  <si>
    <t>/* #122: not configured */</t>
  </si>
  <si>
    <t>/* #123: not configured */</t>
  </si>
  <si>
    <t>/* #124: not configured */</t>
  </si>
  <si>
    <t>/* #126: not configured */</t>
  </si>
  <si>
    <t>/* #127: not configured */</t>
  </si>
  <si>
    <t>/* #128: not configured */</t>
  </si>
  <si>
    <t>/* #129: not configured */</t>
  </si>
  <si>
    <t>/* #130: not configured */</t>
  </si>
  <si>
    <t>/* #131: not configured */</t>
  </si>
  <si>
    <t>/* #132: not configured */</t>
  </si>
  <si>
    <t>/* #133: not configured */</t>
  </si>
  <si>
    <t>/* #134: not configured */</t>
  </si>
  <si>
    <t>/* #135: not configured */</t>
  </si>
  <si>
    <t>/* #136: not configured */</t>
  </si>
  <si>
    <t>/* #137: not configured */</t>
  </si>
  <si>
    <t>/* #138: not configured */</t>
  </si>
  <si>
    <t>/* #139: not configured */</t>
  </si>
  <si>
    <t>/* #140: not configured */</t>
  </si>
  <si>
    <t>/* #141: not configured */</t>
  </si>
  <si>
    <t>/* #142: not configured */</t>
  </si>
  <si>
    <t>/* #143: not configured */</t>
  </si>
  <si>
    <t>/* #144: not configured */</t>
  </si>
  <si>
    <t>/* #145: not configured */</t>
  </si>
  <si>
    <t>/* #146: not configured */</t>
  </si>
  <si>
    <t>/* #147: not configured */</t>
  </si>
  <si>
    <t>/* #148: not configured */</t>
  </si>
  <si>
    <t>/* #149: not configured */</t>
  </si>
  <si>
    <t>/* #150: not configured */</t>
  </si>
  <si>
    <t>/* #151: not configured */</t>
  </si>
  <si>
    <t>/* #152: not configured */</t>
  </si>
  <si>
    <t>/* #153: not configured */</t>
  </si>
  <si>
    <t>/* #154: not configured */</t>
  </si>
  <si>
    <t>/* #155: not configured */</t>
  </si>
  <si>
    <t>/* #156: not configured */</t>
  </si>
  <si>
    <t>/* #157: not configured */</t>
  </si>
  <si>
    <t>/* #158: not configured */</t>
  </si>
  <si>
    <t>/* #159: not configured */</t>
  </si>
  <si>
    <t>/* #160: not configured */</t>
  </si>
  <si>
    <t>/* #161: not configured */</t>
  </si>
  <si>
    <t>/* #162: not configured */</t>
  </si>
  <si>
    <t>/* #163: not configured */</t>
  </si>
  <si>
    <t>/* #164: not configured */</t>
  </si>
  <si>
    <t>/* #165: not configured */</t>
  </si>
  <si>
    <t>/* #166: not configured */</t>
  </si>
  <si>
    <t>/* #167: not configured */</t>
  </si>
  <si>
    <t>/* #168: not configured */</t>
  </si>
  <si>
    <t>/* #169: not configured */</t>
  </si>
  <si>
    <t>/* #170: not configured */</t>
  </si>
  <si>
    <t>/* #171: not configured */</t>
  </si>
  <si>
    <t>/* #172: not configured */</t>
  </si>
  <si>
    <t>/* #173: not configured */</t>
  </si>
  <si>
    <t>/* #174: not configured */</t>
  </si>
  <si>
    <t>/* #175: not configured */</t>
  </si>
  <si>
    <t>/* #176: not configured */</t>
  </si>
  <si>
    <t>/* #177: not configured */</t>
  </si>
  <si>
    <t>/* #178: not configured */</t>
  </si>
  <si>
    <t>/* #179: not configured */</t>
  </si>
  <si>
    <t>/* #180: not configured */</t>
  </si>
  <si>
    <t>/* #181: not configured */</t>
  </si>
  <si>
    <t>/* #182: not configured */</t>
  </si>
  <si>
    <t>/* #183: not configured */</t>
  </si>
  <si>
    <t>/* #184: not configured */</t>
  </si>
  <si>
    <t>/* #185: not configured */</t>
  </si>
  <si>
    <t>/* #186: not configured */</t>
  </si>
  <si>
    <t>/* #187: not configured */</t>
  </si>
  <si>
    <t>/* #188: not configured */</t>
  </si>
  <si>
    <t>/* #189: not configured */</t>
  </si>
  <si>
    <t>/* #190: not configured */</t>
  </si>
  <si>
    <t>/* #191: not configured */</t>
  </si>
  <si>
    <t>/* #192: not configured */</t>
  </si>
  <si>
    <t>/* #193: not configured */</t>
  </si>
  <si>
    <t>/* #194: not configured */</t>
  </si>
  <si>
    <t>/* #195: not configured */</t>
  </si>
  <si>
    <t>/* #196: not configured */</t>
  </si>
  <si>
    <t>/* #197: not configured */</t>
  </si>
  <si>
    <t>/* #198: not configured */</t>
  </si>
  <si>
    <t>/* #199: not configured */</t>
  </si>
  <si>
    <t>/* #200: not configured */</t>
  </si>
  <si>
    <t>/* #201: not configured */</t>
  </si>
  <si>
    <t>/* #202: not configured */</t>
  </si>
  <si>
    <t>/* #203: not configured */</t>
  </si>
  <si>
    <t>/* #204: not configured */</t>
  </si>
  <si>
    <t>/* #205: not configured */</t>
  </si>
  <si>
    <t>/* #206: not configured */</t>
  </si>
  <si>
    <t>/* #207: not configured */</t>
  </si>
  <si>
    <t>/* #208: not configured */</t>
  </si>
  <si>
    <t>/* #209: not configured */</t>
  </si>
  <si>
    <t>/* #210: not configured */</t>
  </si>
  <si>
    <t>/* #211: not configured */</t>
  </si>
  <si>
    <t>/* #212: not configured */</t>
  </si>
  <si>
    <t>/* #213: not configured */</t>
  </si>
  <si>
    <t>/* #214: not configured */</t>
  </si>
  <si>
    <t>/* #215: not configured */</t>
  </si>
  <si>
    <t>/* #216: not configured */</t>
  </si>
  <si>
    <t>/* #217: not configured */</t>
  </si>
  <si>
    <t>/* #218: not configured */</t>
  </si>
  <si>
    <t>/* #219: not configured */</t>
  </si>
  <si>
    <t>/* #220: not configured */</t>
  </si>
  <si>
    <t>/* #221: not configured */</t>
  </si>
  <si>
    <t>/* #222: not configured */</t>
  </si>
  <si>
    <t>/* #223: not configured */</t>
  </si>
  <si>
    <t>/* #224: not configured */</t>
  </si>
  <si>
    <t>/* #225: not configured */</t>
  </si>
  <si>
    <t>/* #226: not configured */</t>
  </si>
  <si>
    <t>/* #227: not configured */</t>
  </si>
  <si>
    <t>/* #228: not configured */</t>
  </si>
  <si>
    <t>/* #229: not configured */</t>
  </si>
  <si>
    <t>/* #230: not configured */</t>
  </si>
  <si>
    <t>/* #231: not configured */</t>
  </si>
  <si>
    <t>/* #232: not configured */</t>
  </si>
  <si>
    <t>/* #233: not configured */</t>
  </si>
  <si>
    <t>/* #234: not configured */</t>
  </si>
  <si>
    <t>/* #235: not configured */</t>
  </si>
  <si>
    <t>/* #236: not configured */</t>
  </si>
  <si>
    <t>/* #237: not configured */</t>
  </si>
  <si>
    <t>/* #238: not configured */</t>
  </si>
  <si>
    <t>/* #239: not configured */</t>
  </si>
  <si>
    <t>/* #240: not configured */</t>
  </si>
  <si>
    <t>/* #241: not configured */</t>
  </si>
  <si>
    <t>/* #242: not configured */</t>
  </si>
  <si>
    <t>/* #243: not configured */</t>
  </si>
  <si>
    <t>/* #244: not configured */</t>
  </si>
  <si>
    <t>/* #245: not configured */</t>
  </si>
  <si>
    <t>/* #246: not configured */</t>
  </si>
  <si>
    <t>/* #247: not configured */</t>
  </si>
  <si>
    <t>/* #248: not configured */</t>
  </si>
  <si>
    <t>/* #249: not configured */</t>
  </si>
  <si>
    <t>/* #250: not configured */</t>
  </si>
  <si>
    <t>/* #251: not configured */</t>
  </si>
  <si>
    <t>/* #252: not configured */</t>
  </si>
  <si>
    <t>/* #253: not configured */</t>
  </si>
  <si>
    <t>/* #254: not configured */</t>
  </si>
  <si>
    <t>/* #255: not configured */</t>
  </si>
  <si>
    <t>/* #256: not configured */</t>
  </si>
  <si>
    <t>/* #257: not configured */</t>
  </si>
  <si>
    <t>/* #258: not configured */</t>
  </si>
  <si>
    <t>/* #259: not configured */</t>
  </si>
  <si>
    <t>/* #260: not configured */</t>
  </si>
  <si>
    <t>/* #261: not configured */</t>
  </si>
  <si>
    <t>/* #262: not configured */</t>
  </si>
  <si>
    <t>/* #263: not configured */</t>
  </si>
  <si>
    <t>/* #264: not configured */</t>
  </si>
  <si>
    <t>/* #265: not configured */</t>
  </si>
  <si>
    <t>/* #266: not configured */</t>
  </si>
  <si>
    <t>/* #267: not configured */</t>
  </si>
  <si>
    <t>/* #268: not configured */</t>
  </si>
  <si>
    <t>/* #269: not configured */</t>
  </si>
  <si>
    <t>/* #270: not configured */</t>
  </si>
  <si>
    <t>/* #271: not configured */</t>
  </si>
  <si>
    <t>/* #272: not configured */</t>
  </si>
  <si>
    <t>/* #273: not configured */</t>
  </si>
  <si>
    <t>/* #274: not configured */</t>
  </si>
  <si>
    <t>/* #275: not configured */</t>
  </si>
  <si>
    <t>/* #276: not configured */</t>
  </si>
  <si>
    <t>/* #277: not configured */</t>
  </si>
  <si>
    <t>/* #278: not configured */</t>
  </si>
  <si>
    <t>/* #279: not configured */</t>
  </si>
  <si>
    <t>/* #280: not configured */</t>
  </si>
  <si>
    <t>/* #281: not configured */</t>
  </si>
  <si>
    <t>/* #282: not configured */</t>
  </si>
  <si>
    <t>/* #283: not configured */</t>
  </si>
  <si>
    <t>/* #284: not configured */</t>
  </si>
  <si>
    <t>/* #285: not configured */</t>
  </si>
  <si>
    <t>/* #286: not configured */</t>
  </si>
  <si>
    <t>/* #287: not configured */</t>
  </si>
  <si>
    <t>/* #288: not configured */</t>
  </si>
  <si>
    <t>/* #289: not configured */</t>
  </si>
  <si>
    <t>/* #290: not configured */</t>
  </si>
  <si>
    <t>/* #291: not configured */</t>
  </si>
  <si>
    <t>/* #292: not configured */</t>
  </si>
  <si>
    <t>/* #293: not configured */</t>
  </si>
  <si>
    <t>/* #294: not configured */</t>
  </si>
  <si>
    <t>/* #295: not configured */</t>
  </si>
  <si>
    <t>/* #296: not configured */</t>
  </si>
  <si>
    <t>/* #297: not configured */</t>
  </si>
  <si>
    <t>/* #298: not configured */</t>
  </si>
  <si>
    <t>/* #299: not configured */</t>
  </si>
  <si>
    <t>/* #300: not configured */</t>
  </si>
  <si>
    <t>/* #301: not configured */</t>
  </si>
  <si>
    <t>/* #302: not configured */</t>
  </si>
  <si>
    <t>/* #303: not configured */</t>
  </si>
  <si>
    <t>/* #304: not configured */</t>
  </si>
  <si>
    <t>/* #305: not configured */</t>
  </si>
  <si>
    <t>/* #306: not configured */</t>
  </si>
  <si>
    <t>/* #307: not configured */</t>
  </si>
  <si>
    <t>/* #308: not configured */</t>
  </si>
  <si>
    <t>/* #309: not configured */</t>
  </si>
  <si>
    <t>/* #310: not configured */</t>
  </si>
  <si>
    <t>/* #311: not configured */</t>
  </si>
  <si>
    <t>/* #312: not configured */</t>
  </si>
  <si>
    <t>/* #313: not configured */</t>
  </si>
  <si>
    <t>/* #314: not configured */</t>
  </si>
  <si>
    <t>/* #315: not configured */</t>
  </si>
  <si>
    <t>/* #316: not configured */</t>
  </si>
  <si>
    <t>/* #317: not configured */</t>
  </si>
  <si>
    <t>/* #318: not configured */</t>
  </si>
  <si>
    <t>/* #319: not configured */</t>
  </si>
  <si>
    <t>/* #320: not configured */</t>
  </si>
  <si>
    <t>/* #321: not configured */</t>
  </si>
  <si>
    <t>/* #322: not configured */</t>
  </si>
  <si>
    <t>/* #323: not configured */</t>
  </si>
  <si>
    <t>/* #324: not configured */</t>
  </si>
  <si>
    <t>/* #325: not configured */</t>
  </si>
  <si>
    <t>/* #326: not configured */</t>
  </si>
  <si>
    <t>/* #327: not configured */</t>
  </si>
  <si>
    <t>/* #328: not configured */</t>
  </si>
  <si>
    <t>/* #329: not configured */</t>
  </si>
  <si>
    <t>/* #330: not configured */</t>
  </si>
  <si>
    <t>/* #331: not configured */</t>
  </si>
  <si>
    <t>/* #332: not configured */</t>
  </si>
  <si>
    <t>/* #333: not configured */</t>
  </si>
  <si>
    <t>/* #334: not configured */</t>
  </si>
  <si>
    <t>/* #335: not configured */</t>
  </si>
  <si>
    <t>/* #336: not configured */</t>
  </si>
  <si>
    <t>/* #337: not configured */</t>
  </si>
  <si>
    <t>/* #338: not configured */</t>
  </si>
  <si>
    <t>/* #339: not configured */</t>
  </si>
  <si>
    <t>/* #340: not configured */</t>
  </si>
  <si>
    <t>/* #341: not configured */</t>
  </si>
  <si>
    <t>/* #342: not configured */</t>
  </si>
  <si>
    <t>/* #343: not configured */</t>
  </si>
  <si>
    <t>/* #344: not configured */</t>
  </si>
  <si>
    <t>/* #345: not configured */</t>
  </si>
  <si>
    <t>/* #346: not configured */</t>
  </si>
  <si>
    <t>/* #347: not configured */</t>
  </si>
  <si>
    <t>/* #348: not configured */</t>
  </si>
  <si>
    <t>/* #349: not configured */</t>
  </si>
  <si>
    <t>/* #350: not configured */</t>
  </si>
  <si>
    <t>/* #351: not configured */</t>
  </si>
  <si>
    <t>/* #352: not configured */</t>
  </si>
  <si>
    <t>/* #353: not configured */</t>
  </si>
  <si>
    <t>/* #354: not configured */</t>
  </si>
  <si>
    <t>/* #355: not configured */</t>
  </si>
  <si>
    <t>/* #356: not configured */</t>
  </si>
  <si>
    <t>/* #357: not configured */</t>
  </si>
  <si>
    <t>/* #358: not configured */</t>
  </si>
  <si>
    <t>/* #359: not configured */</t>
  </si>
  <si>
    <t>/* #360: not configured */</t>
  </si>
  <si>
    <t>/* #361: not configured */</t>
  </si>
  <si>
    <t>/* #362: not configured */</t>
  </si>
  <si>
    <t>/* #363: not configured */</t>
  </si>
  <si>
    <t>/* #364: not configured */</t>
  </si>
  <si>
    <t>/* #365: not configured */</t>
  </si>
  <si>
    <t>/* #366: not configured */</t>
  </si>
  <si>
    <t>/* #367: not configured */</t>
  </si>
  <si>
    <t>/* #368: not configured */</t>
  </si>
  <si>
    <t>/* #369: not configured */</t>
  </si>
  <si>
    <t>/* #370: not configured */</t>
  </si>
  <si>
    <t>/* #371: not configured */</t>
  </si>
  <si>
    <t>/* #372: not configured */</t>
  </si>
  <si>
    <t>/* #373: not configured */</t>
  </si>
  <si>
    <t>/* #374: not configured */</t>
  </si>
  <si>
    <t>/* #375: not configured */</t>
  </si>
  <si>
    <t>/* #376: not configured */</t>
  </si>
  <si>
    <t>/* #377: not configured */</t>
  </si>
  <si>
    <t>/* #378: not configured */</t>
  </si>
  <si>
    <t>/* #379: not configured */</t>
  </si>
  <si>
    <t>/* #380: not configured */</t>
  </si>
  <si>
    <t>/* #381: not configured */</t>
  </si>
  <si>
    <t>/* #382: not configured */</t>
  </si>
  <si>
    <t>/* #383: not configured */</t>
  </si>
  <si>
    <t>/* #384: not configured */</t>
  </si>
  <si>
    <t>/* #385: not configured */</t>
  </si>
  <si>
    <t>/* #386: not configured */</t>
  </si>
  <si>
    <t>/* #387: not configured */</t>
  </si>
  <si>
    <t>/* #388: not configured */</t>
  </si>
  <si>
    <t>/* #389: not configured */</t>
  </si>
  <si>
    <t>/* #390: not configured */</t>
  </si>
  <si>
    <t>/* #391: not configured */</t>
  </si>
  <si>
    <t>/* #392: not configured */</t>
  </si>
  <si>
    <t>/* #393: not configured */</t>
  </si>
  <si>
    <t>/* #394: not configured */</t>
  </si>
  <si>
    <t>/* #395: not configured */</t>
  </si>
  <si>
    <t>/* #396: not configured */</t>
  </si>
  <si>
    <t>/* #397: not configured */</t>
  </si>
  <si>
    <t>/* #398: not configured */</t>
  </si>
  <si>
    <t>/* #399: not configured */</t>
  </si>
  <si>
    <t>/* #400: not configured */</t>
  </si>
  <si>
    <t>/* #401: not configured */</t>
  </si>
  <si>
    <t>/* #402: not configured */</t>
  </si>
  <si>
    <t>/* #403: not configured */</t>
  </si>
  <si>
    <t>/* #404: not configured */</t>
  </si>
  <si>
    <t>/* #405: not configured */</t>
  </si>
  <si>
    <t>/* #406: not configured */</t>
  </si>
  <si>
    <t>/* #407: not configured */</t>
  </si>
  <si>
    <t>/* #408: not configured */</t>
  </si>
  <si>
    <t>/* #409: not configured */</t>
  </si>
  <si>
    <t>/* #410: not configured */</t>
  </si>
  <si>
    <t>/* #411: not configured */</t>
  </si>
  <si>
    <t>/* #412: not configured */</t>
  </si>
  <si>
    <t>/* #413: not configured */</t>
  </si>
  <si>
    <t>/* #414: not configured */</t>
  </si>
  <si>
    <t>/* #415: not configured */</t>
  </si>
  <si>
    <t>/* #416: not configured */</t>
  </si>
  <si>
    <t>/* #417: not configured */</t>
  </si>
  <si>
    <t>/* #418: not configured */</t>
  </si>
  <si>
    <t>/* #419: not configured */</t>
  </si>
  <si>
    <t>/* #420: not configured */</t>
  </si>
  <si>
    <t>/* #421: not configured */</t>
  </si>
  <si>
    <t>/* #422: not configured */</t>
  </si>
  <si>
    <t>/* #423: not configured */</t>
  </si>
  <si>
    <t>/* #424: not configured */</t>
  </si>
  <si>
    <t>/* #425: not configured */</t>
  </si>
  <si>
    <t>/* #426: not configured */</t>
  </si>
  <si>
    <t>/* #427: not configured */</t>
  </si>
  <si>
    <t>/* #428: not configured */</t>
  </si>
  <si>
    <t>/* #429: not configured */</t>
  </si>
  <si>
    <t>/* #430: not configured */</t>
  </si>
  <si>
    <t>/* #431: not configured */</t>
  </si>
  <si>
    <t>/* #432: not configured */</t>
  </si>
  <si>
    <t>/* #433: not configured */</t>
  </si>
  <si>
    <t>/* #434: not configured */</t>
  </si>
  <si>
    <t>/* #435: not configured */</t>
  </si>
  <si>
    <t>/* #436: not configured */</t>
  </si>
  <si>
    <t>/* #437: not configured */</t>
  </si>
  <si>
    <t>/* #438: not configured */</t>
  </si>
  <si>
    <t>/* #439: not configured */</t>
  </si>
  <si>
    <t>/* #440: not configured */</t>
  </si>
  <si>
    <t>/* #441: not configured */</t>
  </si>
  <si>
    <t>/* #442: not configured */</t>
  </si>
  <si>
    <t>/* #443: not configured */</t>
  </si>
  <si>
    <t>/* #444: not configured */</t>
  </si>
  <si>
    <t>/* #445: not configured */</t>
  </si>
  <si>
    <t>/* #446: not configured */</t>
  </si>
  <si>
    <t>/* #447: not configured */</t>
  </si>
  <si>
    <t>/* #448: not configured */</t>
  </si>
  <si>
    <t>/* #449: not configured */</t>
  </si>
  <si>
    <t>/* #450: not configured */</t>
  </si>
  <si>
    <t>/* #451: not configured */</t>
  </si>
  <si>
    <t>/* #452: not configured */</t>
  </si>
  <si>
    <t>/* #453: not configured */</t>
  </si>
  <si>
    <t>/* #454: not configured */</t>
  </si>
  <si>
    <t>/* #455: not configured */</t>
  </si>
  <si>
    <t>/* #456: not configured */</t>
  </si>
  <si>
    <t>/* #457: not configured */</t>
  </si>
  <si>
    <t>/* #458: not configured */</t>
  </si>
  <si>
    <t>/* #459: not configured */</t>
  </si>
  <si>
    <t>/* #460: not configured */</t>
  </si>
  <si>
    <t>/* #461: not configured */</t>
  </si>
  <si>
    <t>/* #462: not configured */</t>
  </si>
  <si>
    <t>/* #463: not configured */</t>
  </si>
  <si>
    <t>/* #464: not configured */</t>
  </si>
  <si>
    <t>/* #465: not configured */</t>
  </si>
  <si>
    <t>/* #466: not configured */</t>
  </si>
  <si>
    <t>/* #467: not configured */</t>
  </si>
  <si>
    <t>/* #468: not configured */</t>
  </si>
  <si>
    <t>/* #469: not configured */</t>
  </si>
  <si>
    <t>/* #470: not configured */</t>
  </si>
  <si>
    <t>/* #471: not configured */</t>
  </si>
  <si>
    <t>/* #472: not configured */</t>
  </si>
  <si>
    <t>/* #473: not configured */</t>
  </si>
  <si>
    <t>/* #474: not configured */</t>
  </si>
  <si>
    <t>/* #475: not configured */</t>
  </si>
  <si>
    <t>/* #476: not configured */</t>
  </si>
  <si>
    <t>/* #477: not configured */</t>
  </si>
  <si>
    <t>/* #478: not configured */</t>
  </si>
  <si>
    <t>/* #479: not configured */</t>
  </si>
  <si>
    <t>/* #480: not configured */</t>
  </si>
  <si>
    <t>/* #481: not configured */</t>
  </si>
  <si>
    <t>/* #482: not configured */</t>
  </si>
  <si>
    <t>/* #483: not configured */</t>
  </si>
  <si>
    <t>/* #484: not configured */</t>
  </si>
  <si>
    <t>/* #485: not configured */</t>
  </si>
  <si>
    <t>/* #486: not configured */</t>
  </si>
  <si>
    <t>/* #487: not configured */</t>
  </si>
  <si>
    <t>/* #488: not configured */</t>
  </si>
  <si>
    <t>/* #489: not configured */</t>
  </si>
  <si>
    <t>/* #490: not configured */</t>
  </si>
  <si>
    <t>/* #491: not configured */</t>
  </si>
  <si>
    <t>/* #492: not configured */</t>
  </si>
  <si>
    <t>/* #493: not configured */</t>
  </si>
  <si>
    <t>/* #494: not configured */</t>
  </si>
  <si>
    <t>/* #495: not configured */</t>
  </si>
  <si>
    <t>/* #496: not configured */</t>
  </si>
  <si>
    <t>/* #497: not configured */</t>
  </si>
  <si>
    <t>/* #498: not configured */</t>
  </si>
  <si>
    <t>/* #499: not configured */</t>
  </si>
  <si>
    <t>/* #500: not configured */</t>
  </si>
  <si>
    <t>/* #501: not configured */</t>
  </si>
  <si>
    <t>/* #502: not configured */</t>
  </si>
  <si>
    <t>/* #503: not configured */</t>
  </si>
  <si>
    <t>/* #504: not configured */</t>
  </si>
  <si>
    <t>/* #505: not configured */</t>
  </si>
  <si>
    <t>/* #506: not configured */</t>
  </si>
  <si>
    <t>/* #507: not configured */</t>
  </si>
  <si>
    <t>/* #508: not configured */</t>
  </si>
  <si>
    <t>/* #509: not configured */</t>
  </si>
  <si>
    <t>/* #510: not configured */</t>
  </si>
  <si>
    <t>/* #511: not configured */</t>
  </si>
  <si>
    <t>offset</t>
  </si>
  <si>
    <t>exception handler</t>
  </si>
  <si>
    <t>body</t>
  </si>
  <si>
    <t>__start</t>
  </si>
  <si>
    <t>_osUnhandledDirectBranchException</t>
  </si>
  <si>
    <t>_osMemProtectionFault</t>
  </si>
  <si>
    <t>_osDataAbortHandler</t>
  </si>
  <si>
    <t>Configure Interrupts</t>
  </si>
  <si>
    <t>/* #125: not configured */</t>
  </si>
  <si>
    <t>(osVoidFunctionType)((__SP_INIT))</t>
  </si>
  <si>
    <t>(osVoidFunctionType)(((uint32)&amp;(Reset_Handler))+1)</t>
  </si>
  <si>
    <t>/* #1: Reset Vector */</t>
  </si>
  <si>
    <t>NMI_Handler</t>
  </si>
  <si>
    <t>/* #2: NMI Exception */</t>
  </si>
  <si>
    <t>HardFault_Handler</t>
  </si>
  <si>
    <t>/* #3: HardFault Exception */</t>
  </si>
  <si>
    <t>MemManage_Handler</t>
  </si>
  <si>
    <t>/* #4: MemManage Exception */</t>
  </si>
  <si>
    <t>BusFault_Handler</t>
  </si>
  <si>
    <t>/* #5: Bus Fault Exception */</t>
  </si>
  <si>
    <t>UsageFault_Handler</t>
  </si>
  <si>
    <t>/* #6: Usage Fault Exception */</t>
  </si>
  <si>
    <t>osSVCHandlerAsm</t>
  </si>
  <si>
    <t>/* #11: SVC Exception */</t>
  </si>
  <si>
    <t>DebugMon_Handler</t>
  </si>
  <si>
    <t>/* #12:  Debug Monitoring Exception */</t>
  </si>
  <si>
    <t>PendSV_Handler</t>
  </si>
  <si>
    <t>/* #76: not configured */</t>
  </si>
  <si>
    <t>osLevelStackCore0Level1</t>
  </si>
  <si>
    <t>Task_Name</t>
  </si>
  <si>
    <t>Rte_Ev_Cyclic2_AppTask_10msLP_0_20ms</t>
  </si>
  <si>
    <t>Number of Counters</t>
  </si>
  <si>
    <t>Rte_Ev_Cyclic2_OsTask_BSW_0_10ms</t>
  </si>
  <si>
    <t>Rte_Ev_Cyclic2_SampleApplicationTask_10ms_0_10ms</t>
  </si>
  <si>
    <t>Rte_Ev_Cyclic_SampleApplicationTask_10ms_0_10ms</t>
  </si>
  <si>
    <t>Schedule Tables</t>
  </si>
  <si>
    <t>Id</t>
  </si>
  <si>
    <t>Name</t>
  </si>
  <si>
    <t>MainScheduleTable_OsTask_NvM_Stack</t>
  </si>
  <si>
    <t>Configure Counters</t>
  </si>
  <si>
    <t>Min Val</t>
  </si>
  <si>
    <t>Max Val</t>
  </si>
  <si>
    <t>Type</t>
  </si>
  <si>
    <t>0xFFFF</t>
  </si>
  <si>
    <t>HARDWARE</t>
  </si>
  <si>
    <t>Value</t>
  </si>
  <si>
    <t>Alarm List</t>
  </si>
  <si>
    <t>Event List</t>
  </si>
  <si>
    <t>#</t>
  </si>
  <si>
    <t>define</t>
  </si>
  <si>
    <t>(0x04)</t>
  </si>
  <si>
    <t>(0x01)</t>
  </si>
  <si>
    <t>(0x02)</t>
  </si>
  <si>
    <t>Rte_Ev_Run_ComVnimMdl_CComVnimMdl_Impl_MainFunction</t>
  </si>
  <si>
    <t>Rte_Ev_Run_DcmExt_OnDre_READ_EngineeringMode</t>
  </si>
  <si>
    <t>(0x400000000000000)</t>
  </si>
  <si>
    <t>Rte_Ev_Run_DcmExt_OnDre_READ_PKI_CertificateStatus</t>
  </si>
  <si>
    <t>(0x200)</t>
  </si>
  <si>
    <t>Rte_Ev_Run_DcmExt_OnDre_READ_PKI_SDKVersion</t>
  </si>
  <si>
    <t>(0x800000000000000)</t>
  </si>
  <si>
    <t>Rte_Ev_Run_DioneMdl_OnDre_AUDIO_FEATURE_ALL_READ_Msg</t>
  </si>
  <si>
    <t>(0x10000000000000)</t>
  </si>
  <si>
    <t>Rte_Ev_Run_DioneMdl_OnDre_AUDIO_FEATURE_GROUP_SPECIFIC_READ_Msg</t>
  </si>
  <si>
    <t>(0x100000000)</t>
  </si>
  <si>
    <t>Rte_Ev_Run_DioneMdl_OnDre_AUDIO_FEATURE_GROUP_SPECIFIC_REQUEST_Msg</t>
  </si>
  <si>
    <t>(0x1000000)</t>
  </si>
  <si>
    <t>Rte_Ev_Run_DioneMdl_OnDre_AUDIO_FEATURE_SOURCE_SPECIFIC_READ_Msg</t>
  </si>
  <si>
    <t>(0x80)</t>
  </si>
  <si>
    <t>Rte_Ev_Run_DioneMdl_OnDre_AUDIO_FEATURE_SOURCE_SPECIFIC_REQUEST_Msg</t>
  </si>
  <si>
    <t>(0x80000000)</t>
  </si>
  <si>
    <t>Rte_Ev_Run_DioneMdl_OnDre_SOURCE_CONNECT_DISCONNECT_READ_Msg</t>
  </si>
  <si>
    <t>(0x10000000)</t>
  </si>
  <si>
    <t>Rte_Ev_Run_DioneMdl_OnDre_SOURCE_CONNECT_DISCONNECT_REQUEST</t>
  </si>
  <si>
    <t>(0x20)</t>
  </si>
  <si>
    <t>Rte_Ev_Run_NVM_Block_NvBlockSwComponentTypeRunnable</t>
  </si>
  <si>
    <t>Rte_Ev_Run_TestUCLApp_RtcClockSetParamReceived</t>
  </si>
  <si>
    <t>Rte_Ev_Run_TestUCLApp_tripResetNotification</t>
  </si>
  <si>
    <t>Rte_Ev_Run_TunerMdl_Ondre_UCLCdd_AmfmDeleteAllStation_set_Msg</t>
  </si>
  <si>
    <t>(0x4000000000000000)</t>
  </si>
  <si>
    <t>Rte_Ev_Run_TunerMdl_Ondre_UCLCdd_AmfmDeleteStation_set_Msg</t>
  </si>
  <si>
    <t>(0x1000000000)</t>
  </si>
  <si>
    <t>Rte_Ev_Run_TunerMdl_Ondre_UCLCdd_AmfmFactoryReset_set_Msg</t>
  </si>
  <si>
    <t>(0x08)</t>
  </si>
  <si>
    <t>Rte_Ev_Run_TunerMdl_Ondre_UCLCdd_AmfmFmListSortType_set_Msg</t>
  </si>
  <si>
    <t>(0x80000000000)</t>
  </si>
  <si>
    <t>Rte_Ev_Run_TunerMdl_Ondre_UCLCdd_AmfmFmList_set_Msg</t>
  </si>
  <si>
    <t>(0x80000000000000)</t>
  </si>
  <si>
    <t>Rte_Ev_Run_TunerMdl_Ondre_UCLCdd_AmfmGetStatus_set_Msg</t>
  </si>
  <si>
    <t>(0x800)</t>
  </si>
  <si>
    <t>Rte_Ev_Run_TunerMdl_Ondre_UCLCdd_AmfmSeek_set_Msg</t>
  </si>
  <si>
    <t>(0x800000000000)</t>
  </si>
  <si>
    <t>Rte_Ev_Run_TunerMdl_Ondre_UCLCdd_AmfmSelectStation_set_Msg</t>
  </si>
  <si>
    <t>(0x2000000000)</t>
  </si>
  <si>
    <t>Rte_Ev_Run_TunerMdl_Ondre_UCLCdd_AmfmStoreStation_set_Msg</t>
  </si>
  <si>
    <t>(0x400000)</t>
  </si>
  <si>
    <t>Rte_Ev_Run_TunerMdl_Ondre_UCLCdd_AmfmTune_set_Msg</t>
  </si>
  <si>
    <t>Rte_Ev_Run_UclProxyCdd_OnDre_0100_WRITE_HeadUnitConfiguration</t>
  </si>
  <si>
    <t>(0x1000)</t>
  </si>
  <si>
    <t>Rte_Ev_Run_UclProxyCdd_OnDre_0101_WRITE_VehicleConfiguration</t>
  </si>
  <si>
    <t>(0x200000)</t>
  </si>
  <si>
    <t>Rte_Ev_Run_UclProxyCdd_OnDre_0110_WRITE_ManufactoryMode</t>
  </si>
  <si>
    <t>(0x4000)</t>
  </si>
  <si>
    <t>Rte_Ev_Run_UclProxyCdd_OnDre_0E02_WRITE_PKI_apply</t>
  </si>
  <si>
    <t>(0x800000000)</t>
  </si>
  <si>
    <t>Rte_Ev_Run_UclProxyCdd_OnDre_1052_WRITE_PKI_DomainName</t>
  </si>
  <si>
    <t>(0x10000000000)</t>
  </si>
  <si>
    <t>Rte_Ev_Run_UclProxyCdd_OnDre_1053_WRITE_PKI_Prot</t>
  </si>
  <si>
    <t>(0x2000000000000)</t>
  </si>
  <si>
    <t>Rte_Ev_Run_UclProxyCdd_OnDre_2305_WRITE_WarningSoundLevel</t>
  </si>
  <si>
    <t>(0x100000)</t>
  </si>
  <si>
    <t>Rte_Ev_Run_UclProxyCdd_OnDre_2B00_WRITE_EngineeringMode</t>
  </si>
  <si>
    <t>(0x100000000000)</t>
  </si>
  <si>
    <t>Rte_Ev_Run_UclProxyCdd_OnDre_AUDIO_FEATURE_ALL_READ_STATUS_Msg</t>
  </si>
  <si>
    <t>(0x1000000000000)</t>
  </si>
  <si>
    <t>Rte_Ev_Run_UclProxyCdd_OnDre_AUDIO_FEATURE_GROUP_READ_STATUS_Msg</t>
  </si>
  <si>
    <t>(0x800000)</t>
  </si>
  <si>
    <t>Rte_Ev_Run_UclProxyCdd_OnDre_AUDIO_FEATURE_GROUP_SPECIFIC_ACK_Msg</t>
  </si>
  <si>
    <t>(0x8000000)</t>
  </si>
  <si>
    <t>Rte_Ev_Run_UclProxyCdd_OnDre_AUDIO_FEATURE_GROUP_SPECIFIC_STATUS_Msg</t>
  </si>
  <si>
    <t>(0x8000)</t>
  </si>
  <si>
    <t>Rte_Ev_Run_UclProxyCdd_OnDre_AUDIO_FEATURE_SOURCE_SPECIFIC_ACK_Msg</t>
  </si>
  <si>
    <t>(0x200000000000)</t>
  </si>
  <si>
    <t>Rte_Ev_Run_UclProxyCdd_OnDre_AUDIO_FEATURE_SOURCE_SPECIFIC_STATUS_Msg</t>
  </si>
  <si>
    <t>(0x4000000000)</t>
  </si>
  <si>
    <t>Rte_Ev_Run_UclProxyCdd_OnDre_AUDIO_FEATURE_SPECIFIC_READ_STATUS_Msg</t>
  </si>
  <si>
    <t>(0x100000000000000)</t>
  </si>
  <si>
    <t>Rte_Ev_Run_UclProxyCdd_OnDre_AmfmBandLimitsInfo_notify_Msg</t>
  </si>
  <si>
    <t>(0x2000)</t>
  </si>
  <si>
    <t>Rte_Ev_Run_UclProxyCdd_OnDre_AmfmCurrentStationInfo_notify_Msg</t>
  </si>
  <si>
    <t>(0x80000)</t>
  </si>
  <si>
    <t>Rte_Ev_Run_UclProxyCdd_OnDre_AmfmFactoryResetStatus_notify_Msg</t>
  </si>
  <si>
    <t>(0x100)</t>
  </si>
  <si>
    <t>Rte_Ev_Run_UclProxyCdd_OnDre_AmfmFmListInfo_notify_Msg</t>
  </si>
  <si>
    <t>(0x2000000000000000)</t>
  </si>
  <si>
    <t>Rte_Ev_Run_UclProxyCdd_OnDre_AmfmFmListSorttype_notify_Msg</t>
  </si>
  <si>
    <t>(0x40000000000000)</t>
  </si>
  <si>
    <t>Rte_Ev_Run_UclProxyCdd_OnDre_AmfmPresetBankInfo_notify_Msg</t>
  </si>
  <si>
    <t>(0x20000)</t>
  </si>
  <si>
    <t>Rte_Ev_Run_UclProxyCdd_OnDre_AmfmRadiotextInfo_notify_Msg</t>
  </si>
  <si>
    <t>(0x8000000000000)</t>
  </si>
  <si>
    <t>Rte_Ev_Run_UclProxyCdd_OnDre_AmfmSeekResult_notify_Msg</t>
  </si>
  <si>
    <t>(0x20000000000)</t>
  </si>
  <si>
    <t>Rte_Ev_Run_UclProxyCdd_OnDre_AmfmSeekState_notify_Msg</t>
  </si>
  <si>
    <t>(0x200000000000000)</t>
  </si>
  <si>
    <t>Rte_Ev_Run_UclProxyCdd_OnDre_AmfmSignalQualityInfo_notify</t>
  </si>
  <si>
    <t>(0x4000000)</t>
  </si>
  <si>
    <t>Rte_Ev_Run_UclProxyCdd_OnDre_CONNECT_DISCONNECT_READ_STATUS_MsgType</t>
  </si>
  <si>
    <t>(0x10)</t>
  </si>
  <si>
    <t>Rte_Ev_Run_UclProxyCdd_OnDre_F010_WRITE_AudioSourceMode</t>
  </si>
  <si>
    <t>(0x400000000000)</t>
  </si>
  <si>
    <t>Rte_Ev_Run_UclProxyCdd_OnDre_F013_WRITE_HMI_Mode</t>
  </si>
  <si>
    <t>(0x20000000000000)</t>
  </si>
  <si>
    <t>Rte_Ev_Run_UclProxyCdd_OnDre_F082_WRITE_TFT_Display</t>
  </si>
  <si>
    <t>(0x40000)</t>
  </si>
  <si>
    <t>Rte_Ev_Run_UclProxyCdd_OnDre_F086_WRITE_SetVolume</t>
  </si>
  <si>
    <t>(0x40000000)</t>
  </si>
  <si>
    <t>Rte_Ev_Run_UclProxyCdd_OnDre_F087_WRITE_SpeakerBalance_Fader</t>
  </si>
  <si>
    <t>(0x400000000)</t>
  </si>
  <si>
    <t>Rte_Ev_Run_UclProxyCdd_OnDre_PKI_CertificateMaintenanceCycle</t>
  </si>
  <si>
    <t>(0x40000000000)</t>
  </si>
  <si>
    <t>Rte_Ev_Run_UclProxyCdd_OnDre_SOURCE_CONNECT_DISCONNECT_ACK_Msg</t>
  </si>
  <si>
    <t>(0x200000000)</t>
  </si>
  <si>
    <t>Rte_Ev_Run_UclProxyCdd_OnDre_SOURCE_CONNECT_DISCONNECT_STATUS_Msg</t>
  </si>
  <si>
    <t>(0x10000)</t>
  </si>
  <si>
    <t>Rte_Ev_Run_UclProxyCdd_OnDre_ScPwDIDomainStateChangeReq</t>
  </si>
  <si>
    <t>(0x8000000000)</t>
  </si>
  <si>
    <t>Rte_Ev_Run_UclProxyCdd_OnDre_ScPwIVIDomainStateChangeReq</t>
  </si>
  <si>
    <t>(0x400)</t>
  </si>
  <si>
    <t>Rte_Ev_Run_UclProxyCdd_OnDre_gac_ACC_Status_Msg</t>
  </si>
  <si>
    <t>Rte_Ev_Run_UclProxyCdd_OnDre_gac_HMI_MODE_SET_Msg</t>
  </si>
  <si>
    <t>(0x40)</t>
  </si>
  <si>
    <t>Rte_Ev_Run_UclProxyCdd_OnDre_gac_HardKey_Msg</t>
  </si>
  <si>
    <t>(0x4000000000000)</t>
  </si>
  <si>
    <t>Rte_Ev_Run_UclProxyCdd_OnDre_gac_SWC_Button_Msg</t>
  </si>
  <si>
    <t>Rte_Ev_Run_UclProxyCdd_OnDre_gac_ScKeyStatus_Msg</t>
  </si>
  <si>
    <t>(0x1000000000000000)</t>
  </si>
  <si>
    <t>Rte_Ev_Run_UclProxyCdd_OnDre_gac_ScPwSytemStateChange_Msg</t>
  </si>
  <si>
    <t>(0x2000000)</t>
  </si>
  <si>
    <t>Rte_Ev_Run_UclProxyCdd_OnDre_gac_ScRtcClockData_Msg</t>
  </si>
  <si>
    <t>(0x20000000)</t>
  </si>
  <si>
    <t>Rte_Ev_Run_UclProxyCdd_OnDre_gac_VolumeEncoderStatus_Msg</t>
  </si>
  <si>
    <t>(0x8000000000000000)</t>
  </si>
  <si>
    <t>List of Events</t>
  </si>
  <si>
    <t>List of Alarms</t>
  </si>
  <si>
    <t>Stack Name</t>
  </si>
  <si>
    <t>FIQ#</t>
  </si>
  <si>
    <t>FIQ Name</t>
  </si>
  <si>
    <t>Ex#</t>
  </si>
  <si>
    <t>Exception Name</t>
  </si>
  <si>
    <t xml:space="preserve">   /* #0: not configured */</t>
  </si>
  <si>
    <t xml:space="preserve"> /* Reset (not used from here handled by BootROM) */</t>
  </si>
  <si>
    <t xml:space="preserve">   /* #1: not configured */</t>
  </si>
  <si>
    <t>osUndefinedInstructionException</t>
  </si>
  <si>
    <t xml:space="preserve"> /* UndefinedInstruction */</t>
  </si>
  <si>
    <t xml:space="preserve">   /* #2: not configured */</t>
  </si>
  <si>
    <t xml:space="preserve"> /* supervisor */</t>
  </si>
  <si>
    <t xml:space="preserve">   /* #3: not configured */</t>
  </si>
  <si>
    <t>osMemProtectionFault</t>
  </si>
  <si>
    <t xml:space="preserve"> /* Abort Prefetch */</t>
  </si>
  <si>
    <t xml:space="preserve">   /* #4: not configured */</t>
  </si>
  <si>
    <t>osDataAbortHandler</t>
  </si>
  <si>
    <t xml:space="preserve"> /* Abort Data */</t>
  </si>
  <si>
    <t xml:space="preserve">   /* #5: not configured */</t>
  </si>
  <si>
    <t xml:space="preserve"> /* Reserved */</t>
  </si>
  <si>
    <t xml:space="preserve">   /* #6: not configured */</t>
  </si>
  <si>
    <t xml:space="preserve"> /* IRQ (not used from here  handled by HW) */</t>
  </si>
  <si>
    <t xml:space="preserve">   /* #7: not configured */</t>
  </si>
  <si>
    <t xml:space="preserve">osISRUnhandledException  </t>
  </si>
  <si>
    <t xml:space="preserve"> /* FIQ (not used from here handled by HW) */</t>
  </si>
  <si>
    <t xml:space="preserve">   /* #8: not configured */</t>
  </si>
  <si>
    <t xml:space="preserve">   /* #9: not configured */</t>
  </si>
  <si>
    <t xml:space="preserve">   /* #10: not configured */</t>
  </si>
  <si>
    <t xml:space="preserve">   /* #11: not configured */</t>
  </si>
  <si>
    <t xml:space="preserve">   /* #12: not configured */</t>
  </si>
  <si>
    <t xml:space="preserve">   /* #13: not configured */</t>
  </si>
  <si>
    <t xml:space="preserve">   /* #14: not configured */</t>
  </si>
  <si>
    <t xml:space="preserve">   /* #15: not configured */</t>
  </si>
  <si>
    <t xml:space="preserve">   /* #16: not configured */</t>
  </si>
  <si>
    <t xml:space="preserve">   /* #17: not configured */</t>
  </si>
  <si>
    <t xml:space="preserve">   /* #18: not configured */</t>
  </si>
  <si>
    <t xml:space="preserve">   /* #19: not configured */</t>
  </si>
  <si>
    <t xml:space="preserve">   /* #20: not configured */</t>
  </si>
  <si>
    <t xml:space="preserve">   /* #21: not configured */</t>
  </si>
  <si>
    <t xml:space="preserve">   /* #22: not configured */</t>
  </si>
  <si>
    <t xml:space="preserve">   /* #23: not configured */</t>
  </si>
  <si>
    <t xml:space="preserve">   /* #24: not configured */</t>
  </si>
  <si>
    <t xml:space="preserve">   /* #25: not configured */</t>
  </si>
  <si>
    <t xml:space="preserve">   /* #26: not configured */</t>
  </si>
  <si>
    <t xml:space="preserve">   /* #27: not configured */</t>
  </si>
  <si>
    <t xml:space="preserve">   /* #28: not configured */</t>
  </si>
  <si>
    <t xml:space="preserve">   /* #29: not configured */</t>
  </si>
  <si>
    <t xml:space="preserve">   /* #30: not configured */</t>
  </si>
  <si>
    <t xml:space="preserve">   /* #31: not configured */</t>
  </si>
  <si>
    <t>Configure Stacks</t>
  </si>
  <si>
    <t>System Stack Size(Bytes)</t>
  </si>
  <si>
    <t>Interrupt Level</t>
  </si>
  <si>
    <t>Base Stack</t>
  </si>
  <si>
    <t>osLevelStackCore0Level0</t>
  </si>
  <si>
    <t>Stack Size
(Bytes)</t>
  </si>
  <si>
    <t>StackSize
(In Bytes)</t>
  </si>
  <si>
    <t>ARM Cortex M4</t>
  </si>
  <si>
    <t>SystemTimerISR</t>
  </si>
  <si>
    <t>osISRWrap_SystemTimerISR</t>
  </si>
  <si>
    <t>/* #15: SystemTimerISR */</t>
  </si>
  <si>
    <t>Task Configuration</t>
  </si>
  <si>
    <t>Open Sheet "Task"</t>
  </si>
  <si>
    <t>General Configuration</t>
  </si>
  <si>
    <t>Select the preffered CPU.</t>
  </si>
  <si>
    <t>Supported CPUs</t>
  </si>
  <si>
    <t>ARM Cortex R5</t>
  </si>
  <si>
    <t>RL78D1x</t>
  </si>
  <si>
    <t>RH850D1x</t>
  </si>
  <si>
    <t>RH850F1x</t>
  </si>
  <si>
    <t>OsTask_IdleTask shall be configured as the last task as is in the sample configuration.</t>
  </si>
  <si>
    <t>Configure the Tasks, Alarms and Events in Davinci Configurator and generate both RTE and OS to be used in this configuration.</t>
  </si>
  <si>
    <t>OS generation shall be ignored in the build after completing this configuration.</t>
  </si>
  <si>
    <t>Other Tasks shall be configured as per requirement. Please refer Davinci generated Os_Cfg.h, Os_Types_Lcfg.h, Os_Tasks_Lcfg.c etc</t>
  </si>
  <si>
    <t>Enter the number of alarms required. This shall be refered from Davinci generated OS_ALARMID_COUNT.</t>
  </si>
  <si>
    <t>Enter the number of tasks to be configured. OS_TASKID_COUNT</t>
  </si>
  <si>
    <t>Leave it blank</t>
  </si>
  <si>
    <t>System Stack Size</t>
  </si>
  <si>
    <t>Enter the system stack size as per requirement.</t>
  </si>
  <si>
    <t>Only ECC1 supported.</t>
  </si>
  <si>
    <t>Enter the number of Os counters required.</t>
  </si>
  <si>
    <t>Task Name</t>
  </si>
  <si>
    <t>Name of the task</t>
  </si>
  <si>
    <t>Naming for Task start address. Task name preceeded by "osd" and succeeded by "_TOP"</t>
  </si>
  <si>
    <r>
      <t>Please enter osTaskStackOsApplication</t>
    </r>
    <r>
      <rPr>
        <b/>
        <sz val="11"/>
        <color theme="1"/>
        <rFont val="Calibri"/>
        <family val="2"/>
        <scheme val="minor"/>
      </rPr>
      <t xml:space="preserve">x </t>
    </r>
    <r>
      <rPr>
        <sz val="11"/>
        <color theme="1"/>
        <rFont val="Calibri"/>
        <family val="2"/>
        <scheme val="minor"/>
      </rPr>
      <t>, whereas x is the task ID.</t>
    </r>
  </si>
  <si>
    <t>Priority of the task. Lower the number, Higher the priority. Davinci has this item generated in Os_Task_Lcfg.h</t>
  </si>
  <si>
    <t>Autostart</t>
  </si>
  <si>
    <t>Is Autostart required for this task or not.</t>
  </si>
  <si>
    <t>Enter the required Task Stack size in Bytes</t>
  </si>
  <si>
    <t>Alarms Configuration</t>
  </si>
  <si>
    <t>Alarm ID</t>
  </si>
  <si>
    <t>Similar to the entry in "Rte_AlarmList" sheet</t>
  </si>
  <si>
    <t>Alarm Task ID</t>
  </si>
  <si>
    <t>Select the Task name which has to be activated on the Alarm expiry</t>
  </si>
  <si>
    <t>Select the Action type of Alarm. Whether to Activate a Task or Set an Event.</t>
  </si>
  <si>
    <t>Event ID</t>
  </si>
  <si>
    <t>Enter the Event Name for the Alarm if Alarm Action is to Set an Event. Else enter 0</t>
  </si>
  <si>
    <t>Event Configuration</t>
  </si>
  <si>
    <t>ISR Configuration</t>
  </si>
  <si>
    <t>Open ISR Sheet</t>
  </si>
  <si>
    <t>The CPU selected shall be same as in "Task" sheet</t>
  </si>
  <si>
    <t>Number of CAT1 ISRs</t>
  </si>
  <si>
    <t>0 (No CAT1 ISR Support)</t>
  </si>
  <si>
    <t>Number of CAT2 ISRs</t>
  </si>
  <si>
    <t>Enter the number of CAT2 ISR to be configured.</t>
  </si>
  <si>
    <t>Logical Number</t>
  </si>
  <si>
    <t>Sequenctial Number</t>
  </si>
  <si>
    <t>Interrupt Vector Name. Vector table will be generated with this vector name.</t>
  </si>
  <si>
    <t>IRQ#</t>
  </si>
  <si>
    <t>Mention the IRQ number as per datasheet</t>
  </si>
  <si>
    <t>Mention the IRQ priority. Lower the number, Higher the priority.</t>
  </si>
  <si>
    <t>CAT2 ( No CAT1 Support)</t>
  </si>
  <si>
    <t>No (No Nested Interrupt Support)</t>
  </si>
  <si>
    <t>API name where the actual Interrupt Service Routine is implemented.</t>
  </si>
  <si>
    <t>Any Name. Preferably related to Vector name.</t>
  </si>
  <si>
    <t>In Bytes ( All ISRs uses same stack)</t>
  </si>
  <si>
    <t>Counters</t>
  </si>
  <si>
    <t>ID</t>
  </si>
  <si>
    <t>Counter ID. ID 0 is for System Counter</t>
  </si>
  <si>
    <t>Minimum value of the Counter</t>
  </si>
  <si>
    <t>Maximum value of the Counter</t>
  </si>
  <si>
    <t>Hardware Counter or Software Counter</t>
  </si>
  <si>
    <t>**** IMPORTANT ****</t>
  </si>
  <si>
    <t>Do not modify this sheet****</t>
  </si>
  <si>
    <t># define Rte_Ev_Cyclic2_AppTask_10msLP_0_10ms     ((EventMaskType)1ULL)</t>
  </si>
  <si>
    <t># define Rte_Ev_Cyclic2_AppTask_10msLP_0_20ms     ((EventMaskType)2ULL)</t>
  </si>
  <si>
    <t># define Rte_Ev_Cyclic2_OsTask_BSW_0_10ms     ((EventMaskType)1ULL)</t>
  </si>
  <si>
    <t># define Rte_Ev_Cyclic2_SampleApplicationTask_10ms_0_10ms     ((EventMaskType)1ULL)</t>
  </si>
  <si>
    <t># define Rte_Ev_Cyclic_AppTask_10msLP_0_10ms     ((EventMaskType)4ULL)</t>
  </si>
  <si>
    <t># define Rte_Ev_Cyclic_SampleApplicationTask_10ms_0_10ms     ((EventMaskType)2ULL)</t>
  </si>
  <si>
    <t># define Rte_Ev_Run_ComVnimMdl_CComVnimMdl_Impl_MainFunction     ((EventMaskType)2ULL)</t>
  </si>
  <si>
    <t># define Rte_Ev_Run_DcmExt_OnDre_READ_EngineeringMode     ((EventMaskType)1ULL)</t>
  </si>
  <si>
    <t># define Rte_Ev_Run_DcmExt_OnDre_READ_PKI_CertificateStatus     ((EventMaskType)1ULL)</t>
  </si>
  <si>
    <t># define Rte_Ev_Run_DcmExt_OnDre_READ_PKI_SDKVersion     ((EventMaskType)2ULL)</t>
  </si>
  <si>
    <t># define Rte_Ev_Run_DioneMdl_OnDre_AUDIO_FEATURE_ALL_READ_Msg     ((EventMaskType)4ULL)</t>
  </si>
  <si>
    <t># define Rte_Ev_Run_DioneMdl_OnDre_AUDIO_FEATURE_GROUP_SPECIFIC_READ_Msg     ((EventMaskType)8ULL)</t>
  </si>
  <si>
    <t># define Rte_Ev_Run_DioneMdl_OnDre_AUDIO_FEATURE_GROUP_SPECIFIC_REQUEST_Msg     ((EventMaskType)16ULL)</t>
  </si>
  <si>
    <t># define Rte_Ev_Run_DioneMdl_OnDre_AUDIO_FEATURE_SOURCE_SPECIFIC_READ_Msg     ((EventMaskType)32ULL)</t>
  </si>
  <si>
    <t># define Rte_Ev_Run_DioneMdl_OnDre_AUDIO_FEATURE_SOURCE_SPECIFIC_REQUEST_Msg     ((EventMaskType)64ULL)</t>
  </si>
  <si>
    <t># define Rte_Ev_Run_DioneMdl_OnDre_SOURCE_CONNECT_DISCONNECT_READ_Msg     ((EventMaskType)128ULL)</t>
  </si>
  <si>
    <t># define Rte_Ev_Run_DioneMdl_OnDre_SOURCE_CONNECT_DISCONNECT_REQUEST     ((EventMaskType)256ULL)</t>
  </si>
  <si>
    <t># define Rte_Ev_Run_DioneMdl_OnDre_gac_DKMsgSoundChimeStatus_Msg     ((EventMaskType)512ULL)</t>
  </si>
  <si>
    <t># define Rte_Ev_Run_DioneMdl_OnDre_gac_DkMsgSoundPlayChime_Msg     ((EventMaskType)1024ULL)</t>
  </si>
  <si>
    <t># define Rte_Ev_Run_DioneMdl_OnDre_gac_DkMsgSoundStopChime_Msg     ((EventMaskType)2048ULL)</t>
  </si>
  <si>
    <t># define Rte_Ev_Run_NVM_Block_NvBlockSwComponentTypeRunnable     ((EventMaskType)1ULL)</t>
  </si>
  <si>
    <t># define Rte_Ev_Run_TestUCLApp_RtcClockSetParamReceived     ((EventMaskType)1ULL)</t>
  </si>
  <si>
    <t># define Rte_Ev_Run_TestUCLApp_tripResetNotification     ((EventMaskType)2ULL)</t>
  </si>
  <si>
    <t># define Rte_Ev_Run_TunerMdl_Ondre_UCLCdd_AmfmDeleteAllStation_set_Msg     ((EventMaskType)4096ULL)</t>
  </si>
  <si>
    <t># define Rte_Ev_Run_TunerMdl_Ondre_UCLCdd_AmfmDeleteStation_set_Msg     ((EventMaskType)8192ULL)</t>
  </si>
  <si>
    <t># define Rte_Ev_Run_TunerMdl_Ondre_UCLCdd_AmfmFactoryReset_set_Msg     ((EventMaskType)16384ULL)</t>
  </si>
  <si>
    <t># define Rte_Ev_Run_TunerMdl_Ondre_UCLCdd_AmfmFmListSortType_set_Msg     ((EventMaskType)32768ULL)</t>
  </si>
  <si>
    <t># define Rte_Ev_Run_TunerMdl_Ondre_UCLCdd_AmfmFmList_set_Msg     ((EventMaskType)65536ULL)</t>
  </si>
  <si>
    <t># define Rte_Ev_Run_TunerMdl_Ondre_UCLCdd_AmfmGetStatus_set_Msg     ((EventMaskType)131072ULL)</t>
  </si>
  <si>
    <t># define Rte_Ev_Run_TunerMdl_Ondre_UCLCdd_AmfmSeek_set_Msg     ((EventMaskType)262144ULL)</t>
  </si>
  <si>
    <t># define Rte_Ev_Run_TunerMdl_Ondre_UCLCdd_AmfmSelectStation_set_Msg     ((EventMaskType)524288ULL)</t>
  </si>
  <si>
    <t># define Rte_Ev_Run_TunerMdl_Ondre_UCLCdd_AmfmStoreStation_set_Msg     ((EventMaskType)1048576ULL)</t>
  </si>
  <si>
    <t># define Rte_Ev_Run_TunerMdl_Ondre_UCLCdd_AmfmTune_set_Msg     ((EventMaskType)2097152ULL)</t>
  </si>
  <si>
    <t># define Rte_Ev_Run_UclProxyCdd_OnDre_0100_WRITE_HeadUnitConfiguration     ((EventMaskType)2ULL)</t>
  </si>
  <si>
    <t># define Rte_Ev_Run_UclProxyCdd_OnDre_0101_WRITE_VehicleConfiguration     ((EventMaskType)4ULL)</t>
  </si>
  <si>
    <t># define Rte_Ev_Run_UclProxyCdd_OnDre_0110_WRITE_ManufactoryMode     ((EventMaskType)8ULL)</t>
  </si>
  <si>
    <t># define Rte_Ev_Run_UclProxyCdd_OnDre_0E02_WRITE_PKI_apply     ((EventMaskType)16ULL)</t>
  </si>
  <si>
    <t># define Rte_Ev_Run_UclProxyCdd_OnDre_1052_WRITE_PKI_DomainName     ((EventMaskType)32ULL)</t>
  </si>
  <si>
    <t># define Rte_Ev_Run_UclProxyCdd_OnDre_1053_WRITE_PKI_Prot     ((EventMaskType)64ULL)</t>
  </si>
  <si>
    <t># define Rte_Ev_Run_UclProxyCdd_OnDre_2305_WRITE_WarningSoundLevel     ((EventMaskType)128ULL)</t>
  </si>
  <si>
    <t># define Rte_Ev_Run_UclProxyCdd_OnDre_2B00_WRITE_EngineeringMode     ((EventMaskType)256ULL)</t>
  </si>
  <si>
    <t># define Rte_Ev_Run_UclProxyCdd_OnDre_ACAN_ADAS_BSDM_ConnStatus     ((EventMaskType)512ULL)</t>
  </si>
  <si>
    <t># define Rte_Ev_Run_UclProxyCdd_OnDre_ACAN_ADAS_BSDS_ConnStatus     ((EventMaskType)1024ULL)</t>
  </si>
  <si>
    <t># define Rte_Ev_Run_UclProxyCdd_OnDre_ACAN_ADAS_ConnStatus     ((EventMaskType)2048ULL)</t>
  </si>
  <si>
    <t># define Rte_Ev_Run_UclProxyCdd_OnDre_ACAN_ADAS_IFC_ConnStatus     ((EventMaskType)4096ULL)</t>
  </si>
  <si>
    <t># define Rte_Ev_Run_UclProxyCdd_OnDre_ACAN_BCS_ConnStatus     ((EventMaskType)8192ULL)</t>
  </si>
  <si>
    <t># define Rte_Ev_Run_UclProxyCdd_OnDre_ACAN_DMS_ConnStatus     ((EventMaskType)16384ULL)</t>
  </si>
  <si>
    <t># define Rte_Ev_Run_UclProxyCdd_OnDre_ACAN_EBB_ConnStatus     ((EventMaskType)32768ULL)</t>
  </si>
  <si>
    <t># define Rte_Ev_Run_UclProxyCdd_OnDre_ACAN_EPS_ConnStatus     ((EventMaskType)65536ULL)</t>
  </si>
  <si>
    <t># define Rte_Ev_Run_UclProxyCdd_OnDre_ACAN_ESCL_ConnStatus     ((EventMaskType)131072ULL)</t>
  </si>
  <si>
    <t># define Rte_Ev_Run_UclProxyCdd_OnDre_ACAN_FAPA_PAS_ConnStatus     ((EventMaskType)262144ULL)</t>
  </si>
  <si>
    <t># define Rte_Ev_Run_UclProxyCdd_OnDre_ACAN_FAPA_PCS_ConnStatus     ((EventMaskType)524288ULL)</t>
  </si>
  <si>
    <t># define Rte_Ev_Run_UclProxyCdd_OnDre_ACAN_GWM_ConnStatus     ((EventMaskType)1048576ULL)</t>
  </si>
  <si>
    <t># define Rte_Ev_Run_UclProxyCdd_OnDre_ACAN_PCS_ConnStatus     ((EventMaskType)2097152ULL)</t>
  </si>
  <si>
    <t># define Rte_Ev_Run_UclProxyCdd_OnDre_ACAN_TEL_ConnStatus     ((EventMaskType)4194304ULL)</t>
  </si>
  <si>
    <t># define Rte_Ev_Run_UclProxyCdd_OnDre_ACAN_VCU_ConnStatus     ((EventMaskType)8388608ULL)</t>
  </si>
  <si>
    <t># define Rte_Ev_Run_UclProxyCdd_OnDre_ACAN_WCM_ConnStatus     ((EventMaskType)16777216ULL)</t>
  </si>
  <si>
    <t># define Rte_Ev_Run_UclProxyCdd_OnDre_AUDIO_FEATURE_ALL_READ_STATUS_Msg     ((EventMaskType)4194304ULL)</t>
  </si>
  <si>
    <t># define Rte_Ev_Run_UclProxyCdd_OnDre_AUDIO_FEATURE_GROUP_READ_STATUS_Msg     ((EventMaskType)8388608ULL)</t>
  </si>
  <si>
    <t># define Rte_Ev_Run_UclProxyCdd_OnDre_AUDIO_FEATURE_GROUP_SPECIFIC_ACK_Msg     ((EventMaskType)16777216ULL)</t>
  </si>
  <si>
    <t># define Rte_Ev_Run_UclProxyCdd_OnDre_AUDIO_FEATURE_GROUP_SPECIFIC_STATUS_Msg     ((EventMaskType)33554432ULL)</t>
  </si>
  <si>
    <t># define Rte_Ev_Run_UclProxyCdd_OnDre_AUDIO_FEATURE_SOURCE_SPECIFIC_ACK_Msg     ((EventMaskType)67108864ULL)</t>
  </si>
  <si>
    <t># define Rte_Ev_Run_UclProxyCdd_OnDre_AUDIO_FEATURE_SOURCE_SPECIFIC_STATUS_Msg     ((EventMaskType)134217728ULL)</t>
  </si>
  <si>
    <t># define Rte_Ev_Run_UclProxyCdd_OnDre_AUDIO_FEATURE_SPECIFIC_READ_STATUS_Msg     ((EventMaskType)268435456ULL)</t>
  </si>
  <si>
    <t># define Rte_Ev_Run_UclProxyCdd_OnDre_AmfmBandLimitsInfo_notify_Msg     ((EventMaskType)536870912ULL)</t>
  </si>
  <si>
    <t># define Rte_Ev_Run_UclProxyCdd_OnDre_AmfmCurrentStationInfo_notify_Msg     ((EventMaskType)1073741824ULL)</t>
  </si>
  <si>
    <t># define Rte_Ev_Run_UclProxyCdd_OnDre_AmfmFactoryResetStatus_notify_Msg     ((EventMaskType)2147483648ULL)</t>
  </si>
  <si>
    <t># define Rte_Ev_Run_UclProxyCdd_OnDre_AmfmFmListInfo_notify_Msg     ((EventMaskType)4294967296ULL)</t>
  </si>
  <si>
    <t># define Rte_Ev_Run_UclProxyCdd_OnDre_AmfmFmListSorttype_notify_Msg     ((EventMaskType)8589934592ULL)</t>
  </si>
  <si>
    <t># define Rte_Ev_Run_UclProxyCdd_OnDre_AmfmPresetBankInfo_notify_Msg     ((EventMaskType)17179869184ULL)</t>
  </si>
  <si>
    <t># define Rte_Ev_Run_UclProxyCdd_OnDre_AmfmRadiotextInfo_notify_Msg     ((EventMaskType)34359738368ULL)</t>
  </si>
  <si>
    <t># define Rte_Ev_Run_UclProxyCdd_OnDre_AmfmSeekResult_notify_Msg     ((EventMaskType)68719476736ULL)</t>
  </si>
  <si>
    <t># define Rte_Ev_Run_UclProxyCdd_OnDre_AmfmSeekState_notify_Msg     ((EventMaskType)137438953472ULL)</t>
  </si>
  <si>
    <t># define Rte_Ev_Run_UclProxyCdd_OnDre_AmfmSignalQualityInfo_notify     ((EventMaskType)33554432ULL)</t>
  </si>
  <si>
    <t># define Rte_Ev_Run_UclProxyCdd_OnDre_BCAN_AMP_ConnStatus     ((EventMaskType)67108864ULL)</t>
  </si>
  <si>
    <t># define Rte_Ev_Run_UclProxyCdd_OnDre_BCAN_AVAS_ConnStatus     ((EventMaskType)134217728ULL)</t>
  </si>
  <si>
    <t># define Rte_Ev_Run_UclProxyCdd_OnDre_BCAN_BCM_ConnStatus     ((EventMaskType)268435456ULL)</t>
  </si>
  <si>
    <t># define Rte_Ev_Run_UclProxyCdd_OnDre_BCAN_FCP_ConnStatus     ((EventMaskType)536870912ULL)</t>
  </si>
  <si>
    <t># define Rte_Ev_Run_UclProxyCdd_OnDre_BCAN_FLDCM_ConnStatus     ((EventMaskType)1073741824ULL)</t>
  </si>
  <si>
    <t># define Rte_Ev_Run_UclProxyCdd_OnDre_BCAN_FLLCU_ConnStatus     ((EventMaskType)2147483648ULL)</t>
  </si>
  <si>
    <t># define Rte_Ev_Run_UclProxyCdd_OnDre_BCAN_FRDCM_ConnStatus     ((EventMaskType)4294967296ULL)</t>
  </si>
  <si>
    <t># define Rte_Ev_Run_UclProxyCdd_OnDre_BCAN_FRLCU_ConnStatus     ((EventMaskType)8589934592ULL)</t>
  </si>
  <si>
    <t># define Rte_Ev_Run_UclProxyCdd_OnDre_BCAN_GWM_ConnStatus     ((EventMaskType)17179869184ULL)</t>
  </si>
  <si>
    <t># define Rte_Ev_Run_UclProxyCdd_OnDre_BCAN_HCP_ConnStatus     ((EventMaskType)34359738368ULL)</t>
  </si>
  <si>
    <t># define Rte_Ev_Run_UclProxyCdd_OnDre_BCAN_HVAC_ConnStatus     ((EventMaskType)68719476736ULL)</t>
  </si>
  <si>
    <t># define Rte_Ev_Run_UclProxyCdd_OnDre_BCAN_IAL_ConnStatus     ((EventMaskType)137438953472ULL)</t>
  </si>
  <si>
    <t># define Rte_Ev_Run_UclProxyCdd_OnDre_BCAN_PEPS_ConnStatus     ((EventMaskType)274877906944ULL)</t>
  </si>
  <si>
    <t># define Rte_Ev_Run_UclProxyCdd_OnDre_BCAN_PLGM_ConnStatus     ((EventMaskType)549755813888ULL)</t>
  </si>
  <si>
    <t># define Rte_Ev_Run_UclProxyCdd_OnDre_BCAN_RLCU_ConnStatus     ((EventMaskType)1099511627776ULL)</t>
  </si>
  <si>
    <t># define Rte_Ev_Run_UclProxyCdd_OnDre_BCAN_SBM_ConnStatus     ((EventMaskType)2199023255552ULL)</t>
  </si>
  <si>
    <t># define Rte_Ev_Run_UclProxyCdd_OnDre_BCAN_SCM_ConnStatus     ((EventMaskType)4398046511104ULL)</t>
  </si>
  <si>
    <t># define Rte_Ev_Run_UclProxyCdd_OnDre_BCAN_TEL_ConnStatus     ((EventMaskType)8796093022208ULL)</t>
  </si>
  <si>
    <t># define Rte_Ev_Run_UclProxyCdd_OnDre_BCAN_Tester_ConnStatus     ((EventMaskType)274877906944ULL)</t>
  </si>
  <si>
    <t># define Rte_Ev_Run_UclProxyCdd_OnDre_CONNECT_DISCONNECT_READ_STATUS_MsgType     ((EventMaskType)549755813888ULL)</t>
  </si>
  <si>
    <t># define Rte_Ev_Run_UclProxyCdd_OnDre_Cluster_Backlight_level     ((EventMaskType)1099511627776ULL)</t>
  </si>
  <si>
    <t># define Rte_Ev_Run_UclProxyCdd_OnDre_Cluster_TFT_Display     ((EventMaskType)2199023255552ULL)</t>
  </si>
  <si>
    <t># define Rte_Ev_Run_UclProxyCdd_OnDre_DTC_Code_Display     ((EventMaskType)17592186044416ULL)</t>
  </si>
  <si>
    <t># define Rte_Ev_Run_UclProxyCdd_OnDre_F010_WRITE_AudioSourceMode     ((EventMaskType)35184372088832ULL)</t>
  </si>
  <si>
    <t># define Rte_Ev_Run_UclProxyCdd_OnDre_F013_WRITE_HMI_Mode     ((EventMaskType)70368744177664ULL)</t>
  </si>
  <si>
    <t># define Rte_Ev_Run_UclProxyCdd_OnDre_F082_WRITE_TFT_Display     ((EventMaskType)140737488355328ULL)</t>
  </si>
  <si>
    <t># define Rte_Ev_Run_UclProxyCdd_OnDre_F086_WRITE_SetVolume     ((EventMaskType)281474976710656ULL)</t>
  </si>
  <si>
    <t># define Rte_Ev_Run_UclProxyCdd_OnDre_F087_WRITE_SpeakerBalance_Fader     ((EventMaskType)562949953421312ULL)</t>
  </si>
  <si>
    <t># define Rte_Ev_Run_UclProxyCdd_OnDre_IVI_Backlight_level     ((EventMaskType)4398046511104ULL)</t>
  </si>
  <si>
    <t># define Rte_Ev_Run_UclProxyCdd_OnDre_IVI_TFT_Display     ((EventMaskType)8796093022208ULL)</t>
  </si>
  <si>
    <t># define Rte_Ev_Run_UclProxyCdd_OnDre_PKI_CertificateMaintenanceCycle     ((EventMaskType)17592186044416ULL)</t>
  </si>
  <si>
    <t># define Rte_Ev_Run_UclProxyCdd_OnDre_SOURCE_CONNECT_DISCONNECT_ACK_Msg     ((EventMaskType)35184372088832ULL)</t>
  </si>
  <si>
    <t># define Rte_Ev_Run_UclProxyCdd_OnDre_SOURCE_CONNECT_DISCONNECT_STATUS_Msg     ((EventMaskType)70368744177664ULL)</t>
  </si>
  <si>
    <t># define Rte_Ev_Run_UclProxyCdd_OnDre_ScPwDIDomainStateChangeReq     ((EventMaskType)140737488355328ULL)</t>
  </si>
  <si>
    <t># define Rte_Ev_Run_UclProxyCdd_OnDre_ScPwIVIDomainStateChangeReq     ((EventMaskType)281474976710656ULL)</t>
  </si>
  <si>
    <t># define Rte_Ev_Run_UclProxyCdd_OnDre_WRITE_HK_Display_Button     ((EventMaskType)1125899906842624ULL)</t>
  </si>
  <si>
    <t># define Rte_Ev_Run_UclProxyCdd_OnDre_WRITE_HardwareVesrion     ((EventMaskType)2251799813685248ULL)</t>
  </si>
  <si>
    <t># define Rte_Ev_Run_UclProxyCdd_OnDre_WRITE_MCUFirmwareVesrion     ((EventMaskType)4503599627370496ULL)</t>
  </si>
  <si>
    <t># define Rte_Ev_Run_UclProxyCdd_OnDre_WRITE_PCB_Temperature     ((EventMaskType)9007199254740992ULL)</t>
  </si>
  <si>
    <t># define Rte_Ev_Run_UclProxyCdd_OnDre_WRITE_Prod_PartNumber     ((EventMaskType)18014398509481984ULL)</t>
  </si>
  <si>
    <t># define Rte_Ev_Run_UclProxyCdd_OnDre_WRITE_Prod_SerialNumber     ((EventMaskType)36028797018963968ULL)</t>
  </si>
  <si>
    <t># define Rte_Ev_Run_UclProxyCdd_OnDre_WRITE_Prod_Supplier     ((EventMaskType)72057594037927936ULL)</t>
  </si>
  <si>
    <t># define Rte_Ev_Run_UclProxyCdd_OnDre_WRITE_Prod_VehIdentifyNumber     ((EventMaskType)144115188075855872ULL)</t>
  </si>
  <si>
    <t># define Rte_Ev_Run_UclProxyCdd_OnDre_gac_ACC_Status_Msg     ((EventMaskType)562949953421312ULL)</t>
  </si>
  <si>
    <t># define Rte_Ev_Run_UclProxyCdd_OnDre_gac_HMI_MODE_SET_Msg     ((EventMaskType)1125899906842624ULL)</t>
  </si>
  <si>
    <t># define Rte_Ev_Run_UclProxyCdd_OnDre_gac_HardKey_Msg     ((EventMaskType)2251799813685248ULL)</t>
  </si>
  <si>
    <t># define Rte_Ev_Run_UclProxyCdd_OnDre_gac_SWC_Button_Msg     ((EventMaskType)4503599627370496ULL)</t>
  </si>
  <si>
    <t># define Rte_Ev_Run_UclProxyCdd_OnDre_gac_ScKeyStatus_Msg     ((EventMaskType)9007199254740992ULL)</t>
  </si>
  <si>
    <t># define Rte_Ev_Run_UclProxyCdd_OnDre_gac_ScPwSytemStateChange_Msg     ((EventMaskType)18014398509481984ULL)</t>
  </si>
  <si>
    <t># define Rte_Ev_Run_UclProxyCdd_OnDre_gac_ScRtcClockData_Msg     ((EventMaskType)36028797018963968ULL)</t>
  </si>
  <si>
    <t># define Rte_Ev_Run_UclProxyCdd_OnDre_gac_VolumeEncoderStatus_Msg     ((EventMaskType)72057594037927936ULL)</t>
  </si>
  <si>
    <t>Vector Generated Os_Cfg.h Path</t>
  </si>
  <si>
    <t>/* #113: not configured */</t>
  </si>
  <si>
    <t>Date</t>
  </si>
  <si>
    <t>CDSIS</t>
  </si>
  <si>
    <t xml:space="preserve">Initial Version </t>
  </si>
  <si>
    <t>ssukuma1</t>
  </si>
  <si>
    <t>v0.1.1</t>
  </si>
  <si>
    <t>Version</t>
  </si>
  <si>
    <t>Changes</t>
  </si>
  <si>
    <t>Initial version created to generate Cypress</t>
  </si>
  <si>
    <t>Updated for generation of RH850</t>
  </si>
  <si>
    <t>v0.2</t>
  </si>
  <si>
    <t>Updated for imx8 CPU</t>
  </si>
  <si>
    <t>v1.0</t>
  </si>
  <si>
    <t>Released for support required for GAC SC</t>
  </si>
  <si>
    <t>v1.1</t>
  </si>
  <si>
    <t>Updated for Event list parsing</t>
  </si>
  <si>
    <t>/* #15: not configured */</t>
  </si>
  <si>
    <t>v1.2</t>
  </si>
  <si>
    <t>Updated for Alarm Parsing
Fixed mandatory parsing of alarm and event</t>
  </si>
  <si>
    <t>Premptive or Non-Premtive</t>
  </si>
  <si>
    <t>Then goto "Alarms" sheet.</t>
  </si>
  <si>
    <t>Generation</t>
  </si>
  <si>
    <t>After completing all configurations, goto "Task" sheet and click on "Generate" Button.</t>
  </si>
  <si>
    <r>
      <t>****** Note ******</t>
    </r>
    <r>
      <rPr>
        <b/>
        <i/>
        <u/>
        <sz val="15"/>
        <color rgb="FFFF0000"/>
        <rFont val="Calibri"/>
        <family val="2"/>
        <scheme val="minor"/>
      </rPr>
      <t xml:space="preserve">
</t>
    </r>
    <r>
      <rPr>
        <b/>
        <i/>
        <sz val="15"/>
        <color rgb="FFFF0000"/>
        <rFont val="Calibri"/>
        <family val="2"/>
        <scheme val="minor"/>
      </rPr>
      <t>This excel based tool is an INTERIM solution created only to speed up the mOS configuration and shall not be considered as a complete code generation tool.
It is always recommended to manually verify the Generated Code against the User Requirement
Any Error Detected during the verification phase needs manual supervision and correction.</t>
    </r>
  </si>
  <si>
    <t>Alarms</t>
  </si>
  <si>
    <t>Imported from Alarm List. No manual Entry required.</t>
  </si>
  <si>
    <t>All mOS releated configuration files will be generated in the same path where this tool is.</t>
  </si>
  <si>
    <t>After generation the summary of Tasks, Alarms, Events and ISRs will be dispalyed.</t>
  </si>
  <si>
    <r>
      <t xml:space="preserve">Enter the path along with file name of </t>
    </r>
    <r>
      <rPr>
        <b/>
        <sz val="11"/>
        <color theme="1"/>
        <rFont val="Calibri"/>
        <family val="2"/>
        <scheme val="minor"/>
      </rPr>
      <t>Os_Cfg.h</t>
    </r>
    <r>
      <rPr>
        <sz val="11"/>
        <color theme="1"/>
        <rFont val="Calibri"/>
        <family val="2"/>
        <scheme val="minor"/>
      </rPr>
      <t xml:space="preserve">. Importing of  the Event list will be done while generation. </t>
    </r>
  </si>
  <si>
    <t>A prompt to provide the Davinci generated Os_Cfg.h and Os_Types_Lcfg.h files will be given. Accept it if you have new Alarms/Events to update. Else ignore.</t>
  </si>
  <si>
    <r>
      <t xml:space="preserve">For new alarm list entry, enter the path along with file name of </t>
    </r>
    <r>
      <rPr>
        <b/>
        <sz val="11"/>
        <color theme="1"/>
        <rFont val="Calibri"/>
        <family val="2"/>
        <scheme val="minor"/>
      </rPr>
      <t>Os_Types_Lcfg.h</t>
    </r>
    <r>
      <rPr>
        <sz val="11"/>
        <color theme="1"/>
        <rFont val="Calibri"/>
        <family val="2"/>
        <scheme val="minor"/>
      </rPr>
      <t xml:space="preserve">. Importing of  the alarm list will be done while generation. </t>
    </r>
  </si>
  <si>
    <t>Vector Generated Os_Types_Lcfg.h Path</t>
  </si>
  <si>
    <t>Note:</t>
  </si>
  <si>
    <t>Tabs Highlighted in RED shall not require Update as these sheets gets updated automatically during the Generation Phase based on User Request.</t>
  </si>
  <si>
    <t>Maximum Number of Task Activation</t>
  </si>
  <si>
    <t>Task Pre Hook Function</t>
  </si>
  <si>
    <t>Task Post Hook Function</t>
  </si>
  <si>
    <t>ISR Pre Hook Function</t>
  </si>
  <si>
    <t>ISR Post Hook Function</t>
  </si>
  <si>
    <t>User Error Hook Function</t>
  </si>
  <si>
    <t>User Hook Interface</t>
  </si>
  <si>
    <t>Startup Hook</t>
  </si>
  <si>
    <t>Hook Type</t>
  </si>
  <si>
    <t>Os Provided Macros</t>
  </si>
  <si>
    <t>OsCfgStartUpHook()</t>
  </si>
  <si>
    <t>OsCfgPreISRHook(x)</t>
  </si>
  <si>
    <t>OsCfgPostISRHook(x)</t>
  </si>
  <si>
    <t>OsCfgErrorHook(x)</t>
  </si>
  <si>
    <t>v1.3</t>
  </si>
  <si>
    <t>Multiple activation support</t>
  </si>
  <si>
    <t>ssebast1</t>
  </si>
  <si>
    <t>v1.4</t>
  </si>
  <si>
    <t>Support for User Hooks as configurable item</t>
  </si>
  <si>
    <t>osISRWrap_osTimerInterrupt</t>
  </si>
  <si>
    <t>/* #76: osTimerInterrupt */</t>
  </si>
  <si>
    <t>osISRWrap_INTRCAN1ERR</t>
  </si>
  <si>
    <t>/* #105: INTRCAN1ERR */</t>
  </si>
  <si>
    <t>osISRWrap_INTRCAN1REC</t>
  </si>
  <si>
    <t>/* #106: INTRCAN1REC */</t>
  </si>
  <si>
    <t>osISRWrap_INTRCAN1TRX</t>
  </si>
  <si>
    <t>/* #107: INTRCAN1TRX */</t>
  </si>
  <si>
    <t>osISRWrap_INTWDTA0</t>
  </si>
  <si>
    <t>/* #32: INTWDTA0 */</t>
  </si>
  <si>
    <t>osISRWrap_INTRLIN30UR0</t>
  </si>
  <si>
    <t>/* #26: INTRLIN30UR0 */</t>
  </si>
  <si>
    <t>osISRWrap_INTRLIN30UR1</t>
  </si>
  <si>
    <t>/* #27: INTRLIN30UR1 */</t>
  </si>
  <si>
    <t>osISRWrap_INTRLIN30UR2</t>
  </si>
  <si>
    <t>/* #28: INTRLIN30UR2 */</t>
  </si>
  <si>
    <t>osISRWrap_INTDMA0</t>
  </si>
  <si>
    <t>/* #52: INTDMA0 */</t>
  </si>
  <si>
    <t>osISRWrap_INTDMA1</t>
  </si>
  <si>
    <t>/* #53: INTDMA1 */</t>
  </si>
  <si>
    <t>osISRWrap_INTTAUJ0I0</t>
  </si>
  <si>
    <t>/* #72: INTTAUJ0I0 */</t>
  </si>
  <si>
    <t>osISRWrap_INTP1</t>
  </si>
  <si>
    <t>/* #30: INTP1 */</t>
  </si>
  <si>
    <t>osISRWrap_INTTAUJ1I3</t>
  </si>
  <si>
    <t>/* #163: INTTAUJ1I3 */</t>
  </si>
  <si>
    <t>UserPreISRHook(x)</t>
  </si>
  <si>
    <t>UserPostISRHook(x)</t>
  </si>
  <si>
    <t>OsCfgPreTaskHook()</t>
  </si>
  <si>
    <t>OsCfgPostTaskHook()</t>
  </si>
  <si>
    <t>PreTaskHook()</t>
  </si>
  <si>
    <t>PostTaskHook()</t>
  </si>
  <si>
    <t>v1.6</t>
  </si>
  <si>
    <t>Generate Os_HooksCfg.h file to handle User specific hook functions
This will avoid the circular inclusion to Os.h</t>
  </si>
  <si>
    <t>Hooks</t>
  </si>
  <si>
    <t>Enable Hook</t>
  </si>
  <si>
    <t>Select this to enable debug hooks in OS</t>
  </si>
  <si>
    <t>Include File List</t>
  </si>
  <si>
    <t>Enter the list of User include files to expose the user hook interface symbols</t>
  </si>
  <si>
    <t>Hook Interfaces</t>
  </si>
  <si>
    <t>Enter Hook Interfaces with arguments specified by the Os provided Hooks</t>
  </si>
  <si>
    <t>Enter user hook interfaces here</t>
  </si>
  <si>
    <t>Press Shift+Enter in the list box to append new include files</t>
  </si>
  <si>
    <t>Caution:</t>
  </si>
  <si>
    <t>If Enable Hook is selected and user hook interfaces are updated, include files are mandatory for successful compilation</t>
  </si>
  <si>
    <t>Task Id</t>
  </si>
  <si>
    <t>Vector Generated Os_Alarm_Lcfg.c Path</t>
  </si>
  <si>
    <t>v1.7</t>
  </si>
  <si>
    <t>1. Priority Changed as per Autosar 
Higher Number Higher Priority
Lower Number Lower Prority
2. Supported Importing Alarm Configurations from Davinci generated Os_Alarm_Lcfg.c</t>
  </si>
  <si>
    <t>Start</t>
  </si>
  <si>
    <t>End</t>
  </si>
  <si>
    <t>Section Name</t>
  </si>
  <si>
    <t>v1.8</t>
  </si>
  <si>
    <t>Updated for M4 core interrupts and Vectors</t>
  </si>
  <si>
    <t>v1.9</t>
  </si>
  <si>
    <t>Updated to support ARM Cortex M7</t>
  </si>
  <si>
    <t>/* #:  Stack Pointer */</t>
  </si>
  <si>
    <t>/* #16: CPU User Interrupt 0*/</t>
  </si>
  <si>
    <t>/* 0: CPUSS_INTERRUPTS_IPC_0_HANDLER */</t>
  </si>
  <si>
    <t>/* 1: CPUSS_INTERRUPTS_IPC_1_HANDLER */</t>
  </si>
  <si>
    <t>/* 2: CPUSS_INTERRUPTS_IPC_2_HANDLER */</t>
  </si>
  <si>
    <t>/* 3: CPUSS_INTERRUPTS_IPC_3_HANDLER */</t>
  </si>
  <si>
    <t>/* 4: CPUSS_INTERRUPTS_IPC_4_HANDLER */</t>
  </si>
  <si>
    <t>/* 5: CPUSS_INTERRUPTS_IPC_5_HANDLER */</t>
  </si>
  <si>
    <t>/* 6: CPUSS_INTERRUPTS_IPC_6_HANDLER */</t>
  </si>
  <si>
    <t>/* 7: CPUSS_INTERRUPTS_IPC_7_HANDLER */</t>
  </si>
  <si>
    <t>/* 8: CPUSS_INTERRUPTS_FAULT_0_HANDLER */</t>
  </si>
  <si>
    <t>/* 9: CPUSS_INTERRUPTS_FAULT_1_HANDLER */</t>
  </si>
  <si>
    <t>/* 10: CPUSS_INTERRUPTS_FAULT_2_HANDLER */</t>
  </si>
  <si>
    <t>/* 11: CPUSS_INTERRUPTS_FAULT_3_HANDLER */</t>
  </si>
  <si>
    <t>/* 12: SRSS_INTERRUPT_BACKUP_HANDLER */</t>
  </si>
  <si>
    <t>/* 13: SRSS_INTERRUPT_MCWDT_0_HANDLER */</t>
  </si>
  <si>
    <t>/* 14: SRSS_INTERRUPT_MCWDT_1_HANDLER */</t>
  </si>
  <si>
    <t>/* 15: SRSS_INTERRUPT_MCWDT_2_HANDLER */</t>
  </si>
  <si>
    <t>/* 16: NC_HANDLER */</t>
  </si>
  <si>
    <t>/* 17: SRSS_INTERRUPT_WDT_HANDLER */</t>
  </si>
  <si>
    <t>/* 18: SRSS_INTERRUPT_HANDLER */</t>
  </si>
  <si>
    <t>/* 19: EVTGEN_0_INTERRUPT_DPSLP_HANDLER */</t>
  </si>
  <si>
    <t>/* 20: SCB_0_INTERRUPT_HANDLER */</t>
  </si>
  <si>
    <t>/* 21: NC_HANDLER */</t>
  </si>
  <si>
    <t>/* 22: IOSS_INTERRUPT_VDD_HANDLER */</t>
  </si>
  <si>
    <t>/* 23: IOSS_INTERRUPT_GPIO_DPSLP_HANDLER */</t>
  </si>
  <si>
    <t>/* 24: IOSS_INTERRUPTS_GPIO_DPSLP_0_HANDLER */</t>
  </si>
  <si>
    <t>/* 25: IOSS_INTERRUPTS_GPIO_DPSLP_1_HANDLER */</t>
  </si>
  <si>
    <t>/* 26: IOSS_INTERRUPTS_GPIO_DPSLP_2_HANDLER */</t>
  </si>
  <si>
    <t>/* 27: IOSS_INTERRUPTS_GPIO_DPSLP_3_HANDLER */</t>
  </si>
  <si>
    <t>/* 28: IOSS_INTERRUPTS_GPIO_DPSLP_4_HANDLER */</t>
  </si>
  <si>
    <t>/* 29: IOSS_INTERRUPTS_GPIO_DPSLP_5_HANDLER */</t>
  </si>
  <si>
    <t>/* 30: IOSS_INTERRUPTS_GPIO_DPSLP_6_HANDLER */</t>
  </si>
  <si>
    <t>/* 31: IOSS_INTERRUPTS_GPIO_DPSLP_7_HANDLER */</t>
  </si>
  <si>
    <t>/* 32: IOSS_INTERRUPTS_GPIO_DPSLP_8_HANDLER */</t>
  </si>
  <si>
    <t>/* 33: IOSS_INTERRUPTS_GPIO_DPSLP_9_HANDLER */</t>
  </si>
  <si>
    <t>/* 34: IOSS_INTERRUPTS_GPIO_DPSLP_10_HANDLER */</t>
  </si>
  <si>
    <t>/* 35: IOSS_INTERRUPTS_GPIO_DPSLP_11_HANDLER */</t>
  </si>
  <si>
    <t>/* 36: IOSS_INTERRUPTS_GPIO_DPSLP_12_HANDLER */</t>
  </si>
  <si>
    <t>/* 37: NC_HANDLER */</t>
  </si>
  <si>
    <t>/* 38: NC_HANDLER */</t>
  </si>
  <si>
    <t>/* 39: NC_HANDLER */</t>
  </si>
  <si>
    <t>/* 40: NC_HANDLER */</t>
  </si>
  <si>
    <t>/* 41: NC_HANDLER */</t>
  </si>
  <si>
    <t>/* 42: NC_HANDLER */</t>
  </si>
  <si>
    <t>/* 43: NC_HANDLER */</t>
  </si>
  <si>
    <t>/* 44: NC_HANDLER */</t>
  </si>
  <si>
    <t>/* 45: NC_HANDLER */</t>
  </si>
  <si>
    <t>/* 46: NC_HANDLER */</t>
  </si>
  <si>
    <t>/* 47: NC_HANDLER */</t>
  </si>
  <si>
    <t>/* 48: NC_HANDLER */</t>
  </si>
  <si>
    <t>/* 49: NC_HANDLER */</t>
  </si>
  <si>
    <t>/* 50: IOSS_INTERRUPT_GPIO_ACT_HANDLER */</t>
  </si>
  <si>
    <t>/* 51: NC_HANDLER */</t>
  </si>
  <si>
    <t>/* 52: NC_HANDLER */</t>
  </si>
  <si>
    <t>/* 53: IOSS_INTERRUPTS_GPIO_ACT_13_HANDLER */</t>
  </si>
  <si>
    <t>/* 54: IOSS_INTERRUPTS_GPIO_ACT_14_HANDLER */</t>
  </si>
  <si>
    <t>/* 55: IOSS_INTERRUPTS_GPIO_ACT_15_HANDLER */</t>
  </si>
  <si>
    <t>/* 56: IOSS_INTERRUPTS_GPIO_ACT_16_HANDLER */</t>
  </si>
  <si>
    <t>/* 57: IOSS_INTERRUPTS_GPIO_ACT_17_HANDLER */</t>
  </si>
  <si>
    <t>/* 58: IOSS_INTERRUPTS_GPIO_ACT_18_HANDLER */</t>
  </si>
  <si>
    <t>/* 59: IOSS_INTERRUPTS_GPIO_ACT_19_HANDLER */</t>
  </si>
  <si>
    <t>/* 60: IOSS_INTERRUPTS_GPIO_ACT_20_HANDLER */</t>
  </si>
  <si>
    <t>/* 61: IOSS_INTERRUPTS_GPIO_ACT_21_HANDLER */</t>
  </si>
  <si>
    <t>/* 62: IOSS_INTERRUPTS_GPIO_ACT_22_HANDLER */</t>
  </si>
  <si>
    <t>/* 63: IOSS_INTERRUPTS_GPIO_ACT_23_HANDLER */</t>
  </si>
  <si>
    <t>/* 64: IOSS_INTERRUPTS_GPIO_ACT_24_HANDLER */</t>
  </si>
  <si>
    <t>/* 65: IOSS_INTERRUPTS_GPIO_ACT_25_HANDLER */</t>
  </si>
  <si>
    <t>/* 66: IOSS_INTERRUPTS_GPIO_ACT_26_HANDLER */</t>
  </si>
  <si>
    <t>/* 67: IOSS_INTERRUPTS_GPIO_ACT_27_HANDLER */</t>
  </si>
  <si>
    <t>/* 68: IOSS_INTERRUPTS_GPIO_ACT_28_HANDLER */</t>
  </si>
  <si>
    <t>/* 69: NC_HANDLER */</t>
  </si>
  <si>
    <t>/* 70: CPUSS_INTERRUPT_CRYPTO_HANDLER */</t>
  </si>
  <si>
    <t>/* 71: CPUSS_INTERRUPT_FM_HANDLER */</t>
  </si>
  <si>
    <t>/* 72: CPUSS_INTERRUPTS_CM7_0_FP_HANDLER */</t>
  </si>
  <si>
    <t>/* 73: CPUSS_INTERRUPTS_CM7_1_FP_HANDLER */</t>
  </si>
  <si>
    <t>/* 74: CPUSS_INTERRUPTS_CM0_CTI_0_HANDLER */</t>
  </si>
  <si>
    <t>/* 75: CPUSS_INTERRUPTS_CM0_CTI_1_HANDLER */</t>
  </si>
  <si>
    <t>/* 76: CPUSS_INTERRUPTS_CM7_0_CTI_0_HANDLER */</t>
  </si>
  <si>
    <t>/* 77: CPUSS_INTERRUPTS_CM7_0_CTI_1_HANDLER */</t>
  </si>
  <si>
    <t>/* 78: CPUSS_INTERRUPTS_CM7_1_CTI_0_HANDLER */</t>
  </si>
  <si>
    <t>/* 79: CPUSS_INTERRUPTS_CM7_1_CTI_1_HANDLER */</t>
  </si>
  <si>
    <t>/* 80: EVTGEN_0_INTERRUPT_HANDLER */</t>
  </si>
  <si>
    <t>/* 81: SMIF_0_INTERRUPT_HANDLER */</t>
  </si>
  <si>
    <t>/* 82: SMIF_1_INTERRUPT_HANDLER */</t>
  </si>
  <si>
    <t>/* 83: ETH_0_INTERRUPT_ETH_0_HANDLER */</t>
  </si>
  <si>
    <t>/* 84: ETH_0_INTERRUPT_ETH_1_HANDLER */</t>
  </si>
  <si>
    <t>/* 85: ETH_0_INTERRUPT_ETH_2_HANDLER */</t>
  </si>
  <si>
    <t>/* 86: CANFD_0_INTERRUPT0_HANDLER */</t>
  </si>
  <si>
    <t>/* 87: CANFD_0_INTERRUPT1_HANDLER */</t>
  </si>
  <si>
    <t>/* 88: CANFD_1_INTERRUPT0_HANDLER */</t>
  </si>
  <si>
    <t>/* 89: CANFD_1_INTERRUPT1_HANDLER */</t>
  </si>
  <si>
    <t>/* 90: CANFD_0_INTERRUPTS0_0_HANDLER */</t>
  </si>
  <si>
    <t>/* 91: CANFD_0_INTERRUPTS0_1_HANDLER */</t>
  </si>
  <si>
    <t>/* 92: NC_HANDLER */</t>
  </si>
  <si>
    <t>/* 93: NC_HANDLER */</t>
  </si>
  <si>
    <t>/* 94: NC_HANDLER */</t>
  </si>
  <si>
    <t>/* 95: NC_HANDLER */</t>
  </si>
  <si>
    <t>/* 96: CANFD_0_INTERRUPTS1_0_HANDLER */</t>
  </si>
  <si>
    <t>/* 97: CANFD_0_INTERRUPTS1_1_HANDLER */</t>
  </si>
  <si>
    <t>/* 98: NC_HANDLER */</t>
  </si>
  <si>
    <t>/* 99: NC_HANDLER */</t>
  </si>
  <si>
    <t>/* 100: NC_HANDLER */</t>
  </si>
  <si>
    <t>/* 101: NC_HANDLER */</t>
  </si>
  <si>
    <t>/* 102: CANFD_1_INTERRUPTS0_0_HANDLER */</t>
  </si>
  <si>
    <t>/* 103: CANFD_1_INTERRUPTS0_1_HANDLER */</t>
  </si>
  <si>
    <t>/* 104: NC_HANDLER */</t>
  </si>
  <si>
    <t>/* 105: NC_HANDLER */</t>
  </si>
  <si>
    <t>/* 106: NC_HANDLER */</t>
  </si>
  <si>
    <t>/* 107: NC_HANDLER */</t>
  </si>
  <si>
    <t>/* 108: CANFD_1_INTERRUPTS1_0_HANDLER */</t>
  </si>
  <si>
    <t>/* 109: CANFD_1_INTERRUPTS1_1_HANDLER */</t>
  </si>
  <si>
    <t>/* 110: NC_HANDLER */</t>
  </si>
  <si>
    <t>/* 111: NC_HANDLER */</t>
  </si>
  <si>
    <t>/* 112: NC_HANDLER */</t>
  </si>
  <si>
    <t>/* 113: NC_HANDLER */</t>
  </si>
  <si>
    <t>/* 114: LIN_0_INTERRUPTS_0_HANDLER */</t>
  </si>
  <si>
    <t>/* 115: LIN_0_INTERRUPTS_1_HANDLER */</t>
  </si>
  <si>
    <t>/* 116: NC_HANDLER */</t>
  </si>
  <si>
    <t>/* 117: NC_HANDLER */</t>
  </si>
  <si>
    <t>/* 118: NC_HANDLER */</t>
  </si>
  <si>
    <t>/* 119: NC_HANDLER */</t>
  </si>
  <si>
    <t>/* 120: NC_HANDLER */</t>
  </si>
  <si>
    <t>/* 121: NC_HANDLER */</t>
  </si>
  <si>
    <t>/* 122: NC_HANDLER */</t>
  </si>
  <si>
    <t>/* 123: NC_HANDLER */</t>
  </si>
  <si>
    <t>/* 124: NC_HANDLER */</t>
  </si>
  <si>
    <t>/* 125: NC_HANDLER */</t>
  </si>
  <si>
    <t>/* 126: NC_HANDLER */</t>
  </si>
  <si>
    <t>/* 127: NC_HANDLER */</t>
  </si>
  <si>
    <t>/* 128: NC_HANDLER */</t>
  </si>
  <si>
    <t>/* 129: NC_HANDLER */</t>
  </si>
  <si>
    <t>/* 130: CXPI_0_INTERRUPTS_0_HANDLER */</t>
  </si>
  <si>
    <t>/* 131: CXPI_0_INTERRUPTS_1_HANDLER */</t>
  </si>
  <si>
    <t>/* 132: NC_HANDLER */</t>
  </si>
  <si>
    <t>/* 133: NC_HANDLER */</t>
  </si>
  <si>
    <t>/* 134: NC_HANDLER */</t>
  </si>
  <si>
    <t>/* 135: SCB_1_INTERRUPT_HANDLER */</t>
  </si>
  <si>
    <t>/* 136: SCB_2_INTERRUPT_HANDLER */</t>
  </si>
  <si>
    <t>/* 137: SCB_3_INTERRUPT_HANDLER */</t>
  </si>
  <si>
    <t>/* 138: SCB_4_INTERRUPT_HANDLER */</t>
  </si>
  <si>
    <t>/* 139: SCB_5_INTERRUPT_HANDLER */</t>
  </si>
  <si>
    <t>/* 140: SCB_6_INTERRUPT_HANDLER */</t>
  </si>
  <si>
    <t>/* 141: SCB_7_INTERRUPT_HANDLER */</t>
  </si>
  <si>
    <t>/* 142: SCB_8_INTERRUPT_HANDLER */</t>
  </si>
  <si>
    <t>/* 143: SCB_9_INTERRUPT_HANDLER */</t>
  </si>
  <si>
    <t>/* 144: SCB_10_INTERRUPT_HANDLER */</t>
  </si>
  <si>
    <t>/* 145: SCB_11_INTERRUPT_HANDLER */</t>
  </si>
  <si>
    <t>/* 146: NC_HANDLER */</t>
  </si>
  <si>
    <t>/* 147: NC_HANDLER */</t>
  </si>
  <si>
    <t>/* 148: NC_HANDLER */</t>
  </si>
  <si>
    <t>/* 149: NC_HANDLER */</t>
  </si>
  <si>
    <t>/* 150: VIDEOSS_0_INTERRUPT_GFX2D_HANDLER */</t>
  </si>
  <si>
    <t>/* 151: VIDEOSS_0_INTERRUPT_MIPICSI_HANDLER */</t>
  </si>
  <si>
    <t>/* 152: VIDEOSS_0_INTERRUPT_VIDEOIO0_HANDLER */</t>
  </si>
  <si>
    <t>/* 153: VIDEOSS_0_INTERRUPT_VIDEOIO1_HANDLER */</t>
  </si>
  <si>
    <t>/* 154: VIDEOSS_0_INTERRUPT_VIDEOIO0_SAFETY_HANDLER */</t>
  </si>
  <si>
    <t>/* 155: VIDEOSS_0_INTERRUPT_VIDEOIO1_SAFETY_HANDLER */</t>
  </si>
  <si>
    <t>/* 156: NC_HANDLER */</t>
  </si>
  <si>
    <t>/* 157: NC_HANDLER */</t>
  </si>
  <si>
    <t>/* 158: NC_HANDLER */</t>
  </si>
  <si>
    <t>/* 159: NC_HANDLER */</t>
  </si>
  <si>
    <t>/* 160: PASS_0_INTERRUPTS_SAR_0_HANDLER */</t>
  </si>
  <si>
    <t>/* 161: PASS_0_INTERRUPTS_SAR_1_HANDLER */</t>
  </si>
  <si>
    <t>/* 162: PASS_0_INTERRUPTS_SAR_2_HANDLER */</t>
  </si>
  <si>
    <t>/* 163: PASS_0_INTERRUPTS_SAR_3_HANDLER */</t>
  </si>
  <si>
    <t>/* 164: PASS_0_INTERRUPTS_SAR_4_HANDLER */</t>
  </si>
  <si>
    <t>/* 165: PASS_0_INTERRUPTS_SAR_5_HANDLER */</t>
  </si>
  <si>
    <t>/* 166: PASS_0_INTERRUPTS_SAR_6_HANDLER */</t>
  </si>
  <si>
    <t>/* 167: PASS_0_INTERRUPTS_SAR_7_HANDLER */</t>
  </si>
  <si>
    <t>/* 168: PASS_0_INTERRUPTS_SAR_8_HANDLER */</t>
  </si>
  <si>
    <t>/* 169: PASS_0_INTERRUPTS_SAR_9_HANDLER */</t>
  </si>
  <si>
    <t>/* 170: PASS_0_INTERRUPTS_SAR_10_HANDLER */</t>
  </si>
  <si>
    <t>/* 171: PASS_0_INTERRUPTS_SAR_11_HANDLER */</t>
  </si>
  <si>
    <t>/* 172: PASS_0_INTERRUPTS_SAR_12_HANDLER */</t>
  </si>
  <si>
    <t>/* 173: PASS_0_INTERRUPTS_SAR_13_HANDLER */</t>
  </si>
  <si>
    <t>/* 174: PASS_0_INTERRUPTS_SAR_14_HANDLER */</t>
  </si>
  <si>
    <t>/* 175: PASS_0_INTERRUPTS_SAR_15_HANDLER */</t>
  </si>
  <si>
    <t>/* 176: PASS_0_INTERRUPTS_SAR_16_HANDLER */</t>
  </si>
  <si>
    <t>/* 177: PASS_0_INTERRUPTS_SAR_17_HANDLER */</t>
  </si>
  <si>
    <t>/* 178: PASS_0_INTERRUPTS_SAR_18_HANDLER */</t>
  </si>
  <si>
    <t>/* 179: PASS_0_INTERRUPTS_SAR_19_HANDLER */</t>
  </si>
  <si>
    <t>/* 180: PASS_0_INTERRUPTS_SAR_20_HANDLER */</t>
  </si>
  <si>
    <t>/* 181: PASS_0_INTERRUPTS_SAR_21_HANDLER */</t>
  </si>
  <si>
    <t>/* 182: PASS_0_INTERRUPTS_SAR_22_HANDLER */</t>
  </si>
  <si>
    <t>/* 183: PASS_0_INTERRUPTS_SAR_23_HANDLER */</t>
  </si>
  <si>
    <t>/* 184: PASS_0_INTERRUPTS_SAR_24_HANDLER */</t>
  </si>
  <si>
    <t>/* 185: PASS_0_INTERRUPTS_SAR_25_HANDLER */</t>
  </si>
  <si>
    <t>/* 186: PASS_0_INTERRUPTS_SAR_26_HANDLER */</t>
  </si>
  <si>
    <t>/* 187: PASS_0_INTERRUPTS_SAR_27_HANDLER */</t>
  </si>
  <si>
    <t>/* 188: PASS_0_INTERRUPTS_SAR_28_HANDLER */</t>
  </si>
  <si>
    <t>/* 189: PASS_0_INTERRUPTS_SAR_29_HANDLER */</t>
  </si>
  <si>
    <t>/* 190: PASS_0_INTERRUPTS_SAR_30_HANDLER */</t>
  </si>
  <si>
    <t>/* 191: PASS_0_INTERRUPTS_SAR_31_HANDLER */</t>
  </si>
  <si>
    <t>/* 192: NC_HANDLER */</t>
  </si>
  <si>
    <t>/* 193: NC_HANDLER */</t>
  </si>
  <si>
    <t>/* 194: NC_HANDLER */</t>
  </si>
  <si>
    <t>/* 195: NC_HANDLER */</t>
  </si>
  <si>
    <t>/* 196: NC_HANDLER */</t>
  </si>
  <si>
    <t>/* 197: NC_HANDLER */</t>
  </si>
  <si>
    <t>/* 198: NC_HANDLER */</t>
  </si>
  <si>
    <t>/* 199: NC_HANDLER */</t>
  </si>
  <si>
    <t>/* 200: NC_HANDLER */</t>
  </si>
  <si>
    <t>/* 201: NC_HANDLER */</t>
  </si>
  <si>
    <t>/* 202: NC_HANDLER */</t>
  </si>
  <si>
    <t>/* 203: NC_HANDLER */</t>
  </si>
  <si>
    <t>/* 204: NC_HANDLER */</t>
  </si>
  <si>
    <t>/* 205: NC_HANDLER */</t>
  </si>
  <si>
    <t>/* 206: NC_HANDLER */</t>
  </si>
  <si>
    <t>/* 207: NC_HANDLER */</t>
  </si>
  <si>
    <t>/* 208: NC_HANDLER */</t>
  </si>
  <si>
    <t>/* 209: NC_HANDLER */</t>
  </si>
  <si>
    <t>/* 210: NC_HANDLER */</t>
  </si>
  <si>
    <t>/* 211: NC_HANDLER */</t>
  </si>
  <si>
    <t>/* 212: NC_HANDLER */</t>
  </si>
  <si>
    <t>/* 213: NC_HANDLER */</t>
  </si>
  <si>
    <t>/* 214: NC_HANDLER */</t>
  </si>
  <si>
    <t>/* 215: NC_HANDLER */</t>
  </si>
  <si>
    <t>/* 216: NC_HANDLER */</t>
  </si>
  <si>
    <t>/* 217: NC_HANDLER */</t>
  </si>
  <si>
    <t>/* 218: NC_HANDLER */</t>
  </si>
  <si>
    <t>/* 219: NC_HANDLER */</t>
  </si>
  <si>
    <t>/* 220: NC_HANDLER */</t>
  </si>
  <si>
    <t>/* 221: NC_HANDLER */</t>
  </si>
  <si>
    <t>/* 222: NC_HANDLER */</t>
  </si>
  <si>
    <t>/* 223: NC_HANDLER */</t>
  </si>
  <si>
    <t>/* 224: NC_HANDLER */</t>
  </si>
  <si>
    <t>/* 225: NC_HANDLER */</t>
  </si>
  <si>
    <t>/* 226: NC_HANDLER */</t>
  </si>
  <si>
    <t>/* 227: NC_HANDLER */</t>
  </si>
  <si>
    <t>/* 228: NC_HANDLER */</t>
  </si>
  <si>
    <t>/* 229: NC_HANDLER */</t>
  </si>
  <si>
    <t>/* 230: NC_HANDLER */</t>
  </si>
  <si>
    <t>/* 231: NC_HANDLER */</t>
  </si>
  <si>
    <t>/* 232: NC_HANDLER */</t>
  </si>
  <si>
    <t>/* 233: NC_HANDLER */</t>
  </si>
  <si>
    <t>/* 234: NC_HANDLER */</t>
  </si>
  <si>
    <t>/* 235: NC_HANDLER */</t>
  </si>
  <si>
    <t>/* 236: NC_HANDLER */</t>
  </si>
  <si>
    <t>/* 237: NC_HANDLER */</t>
  </si>
  <si>
    <t>/* 238: NC_HANDLER */</t>
  </si>
  <si>
    <t>/* 239: NC_HANDLER */</t>
  </si>
  <si>
    <t>/* 240: NC_HANDLER */</t>
  </si>
  <si>
    <t>/* 241: NC_HANDLER */</t>
  </si>
  <si>
    <t>/* 242: NC_HANDLER */</t>
  </si>
  <si>
    <t>/* 243: NC_HANDLER */</t>
  </si>
  <si>
    <t>/* 244: NC_HANDLER */</t>
  </si>
  <si>
    <t>/* 245: NC_HANDLER */</t>
  </si>
  <si>
    <t>/* 246: NC_HANDLER */</t>
  </si>
  <si>
    <t>/* 247: NC_HANDLER */</t>
  </si>
  <si>
    <t>/* 248: NC_HANDLER */</t>
  </si>
  <si>
    <t>/* 249: NC_HANDLER */</t>
  </si>
  <si>
    <t>/* 250: NC_HANDLER */</t>
  </si>
  <si>
    <t>/* 251: NC_HANDLER */</t>
  </si>
  <si>
    <t>/* 252: NC_HANDLER */</t>
  </si>
  <si>
    <t>/* 253: NC_HANDLER */</t>
  </si>
  <si>
    <t>/* 254: NC_HANDLER */</t>
  </si>
  <si>
    <t>/* 255: NC_HANDLER */</t>
  </si>
  <si>
    <t>/* 256: NC_HANDLER */</t>
  </si>
  <si>
    <t>/* 257: NC_HANDLER */</t>
  </si>
  <si>
    <t>/* 258: NC_HANDLER */</t>
  </si>
  <si>
    <t>/* 259: NC_HANDLER */</t>
  </si>
  <si>
    <t>/* 260: NC_HANDLER */</t>
  </si>
  <si>
    <t>/* 261: NC_HANDLER */</t>
  </si>
  <si>
    <t>/* 262: NC_HANDLER */</t>
  </si>
  <si>
    <t>/* 263: NC_HANDLER */</t>
  </si>
  <si>
    <t>/* 264: NC_HANDLER */</t>
  </si>
  <si>
    <t>/* 265: NC_HANDLER */</t>
  </si>
  <si>
    <t>/* 266: NC_HANDLER */</t>
  </si>
  <si>
    <t>/* 267: NC_HANDLER */</t>
  </si>
  <si>
    <t>/* 268: NC_HANDLER */</t>
  </si>
  <si>
    <t>/* 269: NC_HANDLER */</t>
  </si>
  <si>
    <t>/* 270: NC_HANDLER */</t>
  </si>
  <si>
    <t>/* 271: NC_HANDLER */</t>
  </si>
  <si>
    <t>/* 272: NC_HANDLER */</t>
  </si>
  <si>
    <t>/* 273: NC_HANDLER */</t>
  </si>
  <si>
    <t>/* 274: NC_HANDLER */</t>
  </si>
  <si>
    <t>/* 275: NC_HANDLER */</t>
  </si>
  <si>
    <t>/* 276: NC_HANDLER */</t>
  </si>
  <si>
    <t>/* 277: NC_HANDLER */</t>
  </si>
  <si>
    <t>/* 278: NC_HANDLER */</t>
  </si>
  <si>
    <t>/* 279: NC_HANDLER */</t>
  </si>
  <si>
    <t>/* 280: NC_HANDLER */</t>
  </si>
  <si>
    <t>/* 281: NC_HANDLER */</t>
  </si>
  <si>
    <t>/* 282: NC_HANDLER */</t>
  </si>
  <si>
    <t>/* 283: NC_HANDLER */</t>
  </si>
  <si>
    <t>/* 284: NC_HANDLER */</t>
  </si>
  <si>
    <t>/* 285: NC_HANDLER */</t>
  </si>
  <si>
    <t>/* 286: NC_HANDLER */</t>
  </si>
  <si>
    <t>/* 287: NC_HANDLER */</t>
  </si>
  <si>
    <t>/* 288: CPUSS_INTERRUPTS_DMAC_0_HANDLER */</t>
  </si>
  <si>
    <t>/* 289: CPUSS_INTERRUPTS_DMAC_1_HANDLER */</t>
  </si>
  <si>
    <t>/* 290: CPUSS_INTERRUPTS_DMAC_2_HANDLER */</t>
  </si>
  <si>
    <t>/* 291: CPUSS_INTERRUPTS_DMAC_3_HANDLER */</t>
  </si>
  <si>
    <t>/* 292: CPUSS_INTERRUPTS_DMAC_4_HANDLER */</t>
  </si>
  <si>
    <t>/* 293: CPUSS_INTERRUPTS_DMAC_5_HANDLER */</t>
  </si>
  <si>
    <t>/* 294: CPUSS_INTERRUPTS_DMAC_6_HANDLER */</t>
  </si>
  <si>
    <t>/* 295: CPUSS_INTERRUPTS_DMAC_7_HANDLER */</t>
  </si>
  <si>
    <t>/* 296: CPUSS_INTERRUPTS_DW0_0_HANDLER */</t>
  </si>
  <si>
    <t>/* 297: CPUSS_INTERRUPTS_DW0_1_HANDLER */</t>
  </si>
  <si>
    <t>/* 298: CPUSS_INTERRUPTS_DW0_2_HANDLER */</t>
  </si>
  <si>
    <t>/* 299: CPUSS_INTERRUPTS_DW0_3_HANDLER */</t>
  </si>
  <si>
    <t>/* 300: CPUSS_INTERRUPTS_DW0_4_HANDLER */</t>
  </si>
  <si>
    <t>/* 301: CPUSS_INTERRUPTS_DW0_5_HANDLER */</t>
  </si>
  <si>
    <t>/* 302: CPUSS_INTERRUPTS_DW0_6_HANDLER */</t>
  </si>
  <si>
    <t>/* 303: CPUSS_INTERRUPTS_DW0_7_HANDLER */</t>
  </si>
  <si>
    <t>/* 304: CPUSS_INTERRUPTS_DW0_8_HANDLER */</t>
  </si>
  <si>
    <t>/* 305: CPUSS_INTERRUPTS_DW0_9_HANDLER */</t>
  </si>
  <si>
    <t>/* 306: CPUSS_INTERRUPTS_DW0_10_HANDLER */</t>
  </si>
  <si>
    <t>/* 307: CPUSS_INTERRUPTS_DW0_11_HANDLER */</t>
  </si>
  <si>
    <t>/* 308: CPUSS_INTERRUPTS_DW0_12_HANDLER */</t>
  </si>
  <si>
    <t>/* 309: CPUSS_INTERRUPTS_DW0_13_HANDLER */</t>
  </si>
  <si>
    <t>/* 310: CPUSS_INTERRUPTS_DW0_14_HANDLER */</t>
  </si>
  <si>
    <t>/* 311: CPUSS_INTERRUPTS_DW0_15_HANDLER */</t>
  </si>
  <si>
    <t>/* 312: CPUSS_INTERRUPTS_DW0_16_HANDLER */</t>
  </si>
  <si>
    <t>/* 313: CPUSS_INTERRUPTS_DW0_17_HANDLER */</t>
  </si>
  <si>
    <t>/* 314: CPUSS_INTERRUPTS_DW0_18_HANDLER */</t>
  </si>
  <si>
    <t>/* 315: CPUSS_INTERRUPTS_DW0_19_HANDLER */</t>
  </si>
  <si>
    <t>/* 316: CPUSS_INTERRUPTS_DW0_20_HANDLER */</t>
  </si>
  <si>
    <t>/* 317: CPUSS_INTERRUPTS_DW0_21_HANDLER */</t>
  </si>
  <si>
    <t>/* 318: CPUSS_INTERRUPTS_DW0_22_HANDLER */</t>
  </si>
  <si>
    <t>/* 319: CPUSS_INTERRUPTS_DW0_23_HANDLER */</t>
  </si>
  <si>
    <t>/* 320: CPUSS_INTERRUPTS_DW0_24_HANDLER */</t>
  </si>
  <si>
    <t>/* 321: CPUSS_INTERRUPTS_DW0_25_HANDLER */</t>
  </si>
  <si>
    <t>/* 322: CPUSS_INTERRUPTS_DW0_26_HANDLER */</t>
  </si>
  <si>
    <t>/* 323: CPUSS_INTERRUPTS_DW0_27_HANDLER */</t>
  </si>
  <si>
    <t>/* 324: CPUSS_INTERRUPTS_DW0_28_HANDLER */</t>
  </si>
  <si>
    <t>/* 325: CPUSS_INTERRUPTS_DW0_29_HANDLER */</t>
  </si>
  <si>
    <t>/* 326: CPUSS_INTERRUPTS_DW0_30_HANDLER */</t>
  </si>
  <si>
    <t>/* 327: CPUSS_INTERRUPTS_DW0_31_HANDLER */</t>
  </si>
  <si>
    <t>/* 328: CPUSS_INTERRUPTS_DW0_32_HANDLER */</t>
  </si>
  <si>
    <t>/* 329: CPUSS_INTERRUPTS_DW0_33_HANDLER */</t>
  </si>
  <si>
    <t>/* 330: CPUSS_INTERRUPTS_DW0_34_HANDLER */</t>
  </si>
  <si>
    <t>/* 331: CPUSS_INTERRUPTS_DW0_35_HANDLER */</t>
  </si>
  <si>
    <t>/* 332: CPUSS_INTERRUPTS_DW0_36_HANDLER */</t>
  </si>
  <si>
    <t>/* 333: CPUSS_INTERRUPTS_DW0_37_HANDLER */</t>
  </si>
  <si>
    <t>/* 334: CPUSS_INTERRUPTS_DW0_38_HANDLER */</t>
  </si>
  <si>
    <t>/* 335: CPUSS_INTERRUPTS_DW0_39_HANDLER */</t>
  </si>
  <si>
    <t>/* 336: CPUSS_INTERRUPTS_DW0_40_HANDLER */</t>
  </si>
  <si>
    <t>/* 337: CPUSS_INTERRUPTS_DW0_41_HANDLER */</t>
  </si>
  <si>
    <t>/* 338: CPUSS_INTERRUPTS_DW0_42_HANDLER */</t>
  </si>
  <si>
    <t>/* 339: CPUSS_INTERRUPTS_DW0_43_HANDLER */</t>
  </si>
  <si>
    <t>/* 340: CPUSS_INTERRUPTS_DW0_44_HANDLER */</t>
  </si>
  <si>
    <t>/* 341: CPUSS_INTERRUPTS_DW0_45_HANDLER */</t>
  </si>
  <si>
    <t>/* 342: CPUSS_INTERRUPTS_DW0_46_HANDLER */</t>
  </si>
  <si>
    <t>/* 343: CPUSS_INTERRUPTS_DW0_47_HANDLER */</t>
  </si>
  <si>
    <t>/* 344: CPUSS_INTERRUPTS_DW0_48_HANDLER */</t>
  </si>
  <si>
    <t>/* 345: CPUSS_INTERRUPTS_DW0_49_HANDLER */</t>
  </si>
  <si>
    <t>/* 346: CPUSS_INTERRUPTS_DW0_50_HANDLER */</t>
  </si>
  <si>
    <t>/* 347: CPUSS_INTERRUPTS_DW0_51_HANDLER */</t>
  </si>
  <si>
    <t>/* 348: CPUSS_INTERRUPTS_DW0_52_HANDLER */</t>
  </si>
  <si>
    <t>/* 349: CPUSS_INTERRUPTS_DW0_53_HANDLER */</t>
  </si>
  <si>
    <t>/* 350: CPUSS_INTERRUPTS_DW0_54_HANDLER */</t>
  </si>
  <si>
    <t>/* 351: CPUSS_INTERRUPTS_DW0_55_HANDLER */</t>
  </si>
  <si>
    <t>/* 352: CPUSS_INTERRUPTS_DW0_56_HANDLER */</t>
  </si>
  <si>
    <t>/* 353: CPUSS_INTERRUPTS_DW0_57_HANDLER */</t>
  </si>
  <si>
    <t>/* 354: CPUSS_INTERRUPTS_DW0_58_HANDLER */</t>
  </si>
  <si>
    <t>/* 355: CPUSS_INTERRUPTS_DW0_59_HANDLER */</t>
  </si>
  <si>
    <t>/* 356: CPUSS_INTERRUPTS_DW0_60_HANDLER */</t>
  </si>
  <si>
    <t>/* 357: CPUSS_INTERRUPTS_DW0_61_HANDLER */</t>
  </si>
  <si>
    <t>/* 358: CPUSS_INTERRUPTS_DW0_62_HANDLER */</t>
  </si>
  <si>
    <t>/* 359: CPUSS_INTERRUPTS_DW0_63_HANDLER */</t>
  </si>
  <si>
    <t>/* 360: CPUSS_INTERRUPTS_DW0_64_HANDLER */</t>
  </si>
  <si>
    <t>/* 361: CPUSS_INTERRUPTS_DW0_65_HANDLER */</t>
  </si>
  <si>
    <t>/* 362: CPUSS_INTERRUPTS_DW0_66_HANDLER */</t>
  </si>
  <si>
    <t>/* 363: CPUSS_INTERRUPTS_DW0_67_HANDLER */</t>
  </si>
  <si>
    <t>/* 364: CPUSS_INTERRUPTS_DW0_68_HANDLER */</t>
  </si>
  <si>
    <t>/* 365: CPUSS_INTERRUPTS_DW0_69_HANDLER */</t>
  </si>
  <si>
    <t>/* 366: CPUSS_INTERRUPTS_DW0_70_HANDLER */</t>
  </si>
  <si>
    <t>/* 367: CPUSS_INTERRUPTS_DW0_71_HANDLER */</t>
  </si>
  <si>
    <t>/* 368: CPUSS_INTERRUPTS_DW0_72_HANDLER */</t>
  </si>
  <si>
    <t>/* 369: CPUSS_INTERRUPTS_DW0_73_HANDLER */</t>
  </si>
  <si>
    <t>/* 370: CPUSS_INTERRUPTS_DW0_74_HANDLER */</t>
  </si>
  <si>
    <t>/* 371: CPUSS_INTERRUPTS_DW0_75_HANDLER */</t>
  </si>
  <si>
    <t>/* 372: NC_HANDLER */</t>
  </si>
  <si>
    <t>/* 373: NC_HANDLER */</t>
  </si>
  <si>
    <t>/* 374: NC_HANDLER */</t>
  </si>
  <si>
    <t>/* 375: NC_HANDLER */</t>
  </si>
  <si>
    <t>/* 376: NC_HANDLER */</t>
  </si>
  <si>
    <t>/* 377: NC_HANDLER */</t>
  </si>
  <si>
    <t>/* 378: NC_HANDLER */</t>
  </si>
  <si>
    <t>/* 379: NC_HANDLER */</t>
  </si>
  <si>
    <t>/* 380: NC_HANDLER */</t>
  </si>
  <si>
    <t>/* 381: NC_HANDLER */</t>
  </si>
  <si>
    <t>/* 382: NC_HANDLER */</t>
  </si>
  <si>
    <t>/* 383: NC_HANDLER */</t>
  </si>
  <si>
    <t>/* 384: NC_HANDLER */</t>
  </si>
  <si>
    <t>/* 385: NC_HANDLER */</t>
  </si>
  <si>
    <t>/* 386: NC_HANDLER */</t>
  </si>
  <si>
    <t>/* 387: NC_HANDLER */</t>
  </si>
  <si>
    <t>/* 388: NC_HANDLER */</t>
  </si>
  <si>
    <t>/* 389: NC_HANDLER */</t>
  </si>
  <si>
    <t>/* 390: NC_HANDLER */</t>
  </si>
  <si>
    <t>/* 391: NC_HANDLER */</t>
  </si>
  <si>
    <t>/* 392: NC_HANDLER */</t>
  </si>
  <si>
    <t>/* 393: NC_HANDLER */</t>
  </si>
  <si>
    <t>/* 394: NC_HANDLER */</t>
  </si>
  <si>
    <t>/* 395: NC_HANDLER */</t>
  </si>
  <si>
    <t>/* 396: NC_HANDLER */</t>
  </si>
  <si>
    <t>/* 397: NC_HANDLER */</t>
  </si>
  <si>
    <t>/* 398: NC_HANDLER */</t>
  </si>
  <si>
    <t>/* 399: NC_HANDLER */</t>
  </si>
  <si>
    <t>/* 400: NC_HANDLER */</t>
  </si>
  <si>
    <t>/* 401: NC_HANDLER */</t>
  </si>
  <si>
    <t>/* 402: NC_HANDLER */</t>
  </si>
  <si>
    <t>/* 403: NC_HANDLER */</t>
  </si>
  <si>
    <t>/* 404: NC_HANDLER */</t>
  </si>
  <si>
    <t>/* 405: NC_HANDLER */</t>
  </si>
  <si>
    <t>/* 406: NC_HANDLER */</t>
  </si>
  <si>
    <t>/* 407: NC_HANDLER */</t>
  </si>
  <si>
    <t>/* 408: NC_HANDLER */</t>
  </si>
  <si>
    <t>/* 409: NC_HANDLER */</t>
  </si>
  <si>
    <t>/* 410: NC_HANDLER */</t>
  </si>
  <si>
    <t>/* 411: NC_HANDLER */</t>
  </si>
  <si>
    <t>/* 412: NC_HANDLER */</t>
  </si>
  <si>
    <t>/* 413: NC_HANDLER */</t>
  </si>
  <si>
    <t>/* 414: NC_HANDLER */</t>
  </si>
  <si>
    <t>/* 415: NC_HANDLER */</t>
  </si>
  <si>
    <t>/* 416: NC_HANDLER */</t>
  </si>
  <si>
    <t>/* 417: NC_HANDLER */</t>
  </si>
  <si>
    <t>/* 418: NC_HANDLER */</t>
  </si>
  <si>
    <t>/* 419: NC_HANDLER */</t>
  </si>
  <si>
    <t>/* 420: NC_HANDLER */</t>
  </si>
  <si>
    <t>/* 421: NC_HANDLER */</t>
  </si>
  <si>
    <t>/* 422: NC_HANDLER */</t>
  </si>
  <si>
    <t>/* 423: NC_HANDLER */</t>
  </si>
  <si>
    <t>/* 424: CPUSS_INTERRUPTS_DW1_0_HANDLER */</t>
  </si>
  <si>
    <t>/* 425: CPUSS_INTERRUPTS_DW1_1_HANDLER */</t>
  </si>
  <si>
    <t>/* 426: CPUSS_INTERRUPTS_DW1_2_HANDLER */</t>
  </si>
  <si>
    <t>/* 427: CPUSS_INTERRUPTS_DW1_3_HANDLER */</t>
  </si>
  <si>
    <t>/* 428: CPUSS_INTERRUPTS_DW1_4_HANDLER */</t>
  </si>
  <si>
    <t>/* 429: CPUSS_INTERRUPTS_DW1_5_HANDLER */</t>
  </si>
  <si>
    <t>/* 430: CPUSS_INTERRUPTS_DW1_6_HANDLER */</t>
  </si>
  <si>
    <t>/* 431: CPUSS_INTERRUPTS_DW1_7_HANDLER */</t>
  </si>
  <si>
    <t>/* 432: CPUSS_INTERRUPTS_DW1_8_HANDLER */</t>
  </si>
  <si>
    <t>/* 433: CPUSS_INTERRUPTS_DW1_9_HANDLER */</t>
  </si>
  <si>
    <t>/* 434: CPUSS_INTERRUPTS_DW1_10_HANDLER */</t>
  </si>
  <si>
    <t>/* 435: CPUSS_INTERRUPTS_DW1_11_HANDLER */</t>
  </si>
  <si>
    <t>/* 436: CPUSS_INTERRUPTS_DW1_12_HANDLER */</t>
  </si>
  <si>
    <t>/* 437: CPUSS_INTERRUPTS_DW1_13_HANDLER */</t>
  </si>
  <si>
    <t>/* 438: CPUSS_INTERRUPTS_DW1_14_HANDLER */</t>
  </si>
  <si>
    <t>/* 439: CPUSS_INTERRUPTS_DW1_15_HANDLER */</t>
  </si>
  <si>
    <t>/* 440: CPUSS_INTERRUPTS_DW1_16_HANDLER */</t>
  </si>
  <si>
    <t>/* 441: CPUSS_INTERRUPTS_DW1_17_HANDLER */</t>
  </si>
  <si>
    <t>/* 442: CPUSS_INTERRUPTS_DW1_18_HANDLER */</t>
  </si>
  <si>
    <t>/* 443: CPUSS_INTERRUPTS_DW1_19_HANDLER */</t>
  </si>
  <si>
    <t>/* 444: CPUSS_INTERRUPTS_DW1_20_HANDLER */</t>
  </si>
  <si>
    <t>/* 445: CPUSS_INTERRUPTS_DW1_21_HANDLER */</t>
  </si>
  <si>
    <t>/* 446: CPUSS_INTERRUPTS_DW1_22_HANDLER */</t>
  </si>
  <si>
    <t>/* 447: CPUSS_INTERRUPTS_DW1_23_HANDLER */</t>
  </si>
  <si>
    <t>/* 448: CPUSS_INTERRUPTS_DW1_24_HANDLER */</t>
  </si>
  <si>
    <t>/* 449: CPUSS_INTERRUPTS_DW1_25_HANDLER */</t>
  </si>
  <si>
    <t>/* 450: CPUSS_INTERRUPTS_DW1_26_HANDLER */</t>
  </si>
  <si>
    <t>/* 451: CPUSS_INTERRUPTS_DW1_27_HANDLER */</t>
  </si>
  <si>
    <t>/* 452: CPUSS_INTERRUPTS_DW1_28_HANDLER */</t>
  </si>
  <si>
    <t>/* 453: CPUSS_INTERRUPTS_DW1_29_HANDLER */</t>
  </si>
  <si>
    <t>/* 454: CPUSS_INTERRUPTS_DW1_30_HANDLER */</t>
  </si>
  <si>
    <t>/* 455: CPUSS_INTERRUPTS_DW1_31_HANDLER */</t>
  </si>
  <si>
    <t>/* 456: CPUSS_INTERRUPTS_DW1_32_HANDLER */</t>
  </si>
  <si>
    <t>/* 457: CPUSS_INTERRUPTS_DW1_33_HANDLER */</t>
  </si>
  <si>
    <t>/* 458: CPUSS_INTERRUPTS_DW1_34_HANDLER */</t>
  </si>
  <si>
    <t>/* 459: CPUSS_INTERRUPTS_DW1_35_HANDLER */</t>
  </si>
  <si>
    <t>/* 460: CPUSS_INTERRUPTS_DW1_36_HANDLER */</t>
  </si>
  <si>
    <t>/* 461: CPUSS_INTERRUPTS_DW1_37_HANDLER */</t>
  </si>
  <si>
    <t>/* 462: CPUSS_INTERRUPTS_DW1_38_HANDLER */</t>
  </si>
  <si>
    <t>/* 463: CPUSS_INTERRUPTS_DW1_39_HANDLER */</t>
  </si>
  <si>
    <t>/* 464: CPUSS_INTERRUPTS_DW1_40_HANDLER */</t>
  </si>
  <si>
    <t>/* 465: CPUSS_INTERRUPTS_DW1_41_HANDLER */</t>
  </si>
  <si>
    <t>/* 466: CPUSS_INTERRUPTS_DW1_42_HANDLER */</t>
  </si>
  <si>
    <t>/* 467: CPUSS_INTERRUPTS_DW1_43_HANDLER */</t>
  </si>
  <si>
    <t>/* 468: CPUSS_INTERRUPTS_DW1_44_HANDLER */</t>
  </si>
  <si>
    <t>/* 469: CPUSS_INTERRUPTS_DW1_45_HANDLER */</t>
  </si>
  <si>
    <t>/* 470: CPUSS_INTERRUPTS_DW1_46_HANDLER */</t>
  </si>
  <si>
    <t>/* 471: CPUSS_INTERRUPTS_DW1_47_HANDLER */</t>
  </si>
  <si>
    <t>/* 472: CPUSS_INTERRUPTS_DW1_48_HANDLER */</t>
  </si>
  <si>
    <t>/* 473: CPUSS_INTERRUPTS_DW1_49_HANDLER */</t>
  </si>
  <si>
    <t>/* 474: CPUSS_INTERRUPTS_DW1_50_HANDLER */</t>
  </si>
  <si>
    <t>/* 475: CPUSS_INTERRUPTS_DW1_51_HANDLER */</t>
  </si>
  <si>
    <t>/* 476: CPUSS_INTERRUPTS_DW1_52_HANDLER */</t>
  </si>
  <si>
    <t>/* 477: CPUSS_INTERRUPTS_DW1_53_HANDLER */</t>
  </si>
  <si>
    <t>/* 478: CPUSS_INTERRUPTS_DW1_54_HANDLER */</t>
  </si>
  <si>
    <t>/* 479: CPUSS_INTERRUPTS_DW1_55_HANDLER */</t>
  </si>
  <si>
    <t>/* 480: CPUSS_INTERRUPTS_DW1_56_HANDLER */</t>
  </si>
  <si>
    <t>/* 481: CPUSS_INTERRUPTS_DW1_57_HANDLER */</t>
  </si>
  <si>
    <t>/* 482: CPUSS_INTERRUPTS_DW1_58_HANDLER */</t>
  </si>
  <si>
    <t>/* 483: CPUSS_INTERRUPTS_DW1_59_HANDLER */</t>
  </si>
  <si>
    <t>/* 484: CPUSS_INTERRUPTS_DW1_60_HANDLER */</t>
  </si>
  <si>
    <t>/* 485: CPUSS_INTERRUPTS_DW1_61_HANDLER */</t>
  </si>
  <si>
    <t>/* 486: CPUSS_INTERRUPTS_DW1_62_HANDLER */</t>
  </si>
  <si>
    <t>/* 487: CPUSS_INTERRUPTS_DW1_63_HANDLER */</t>
  </si>
  <si>
    <t>/* 488: CPUSS_INTERRUPTS_DW1_64_HANDLER */</t>
  </si>
  <si>
    <t>/* 489: CPUSS_INTERRUPTS_DW1_65_HANDLER */</t>
  </si>
  <si>
    <t>/* 490: CPUSS_INTERRUPTS_DW1_66_HANDLER */</t>
  </si>
  <si>
    <t>/* 491: CPUSS_INTERRUPTS_DW1_67_HANDLER */</t>
  </si>
  <si>
    <t>/* 492: CPUSS_INTERRUPTS_DW1_68_HANDLER */</t>
  </si>
  <si>
    <t>/* 493: CPUSS_INTERRUPTS_DW1_69_HANDLER */</t>
  </si>
  <si>
    <t>/* 494: CPUSS_INTERRUPTS_DW1_70_HANDLER */</t>
  </si>
  <si>
    <t>/* 495: CPUSS_INTERRUPTS_DW1_71_HANDLER */</t>
  </si>
  <si>
    <t>/* 496: CPUSS_INTERRUPTS_DW1_72_HANDLER */</t>
  </si>
  <si>
    <t>/* 497: CPUSS_INTERRUPTS_DW1_73_HANDLER */</t>
  </si>
  <si>
    <t>/* 498: CPUSS_INTERRUPTS_DW1_74_HANDLER */</t>
  </si>
  <si>
    <t>/* 499: CPUSS_INTERRUPTS_DW1_75_HANDLER */</t>
  </si>
  <si>
    <t>/* 500: CPUSS_INTERRUPTS_DW1_76_HANDLER */</t>
  </si>
  <si>
    <t>/* 501: CPUSS_INTERRUPTS_DW1_77_HANDLER */</t>
  </si>
  <si>
    <t>/* 502: CPUSS_INTERRUPTS_DW1_78_HANDLER */</t>
  </si>
  <si>
    <t>/* 503: CPUSS_INTERRUPTS_DW1_79_HANDLER */</t>
  </si>
  <si>
    <t>/* 504: CPUSS_INTERRUPTS_DW1_80_HANDLER */</t>
  </si>
  <si>
    <t>/* 505: CPUSS_INTERRUPTS_DW1_81_HANDLER */</t>
  </si>
  <si>
    <t>/* 506: CPUSS_INTERRUPTS_DW1_82_HANDLER */</t>
  </si>
  <si>
    <t>/* 507: CPUSS_INTERRUPTS_DW1_83_HANDLER */</t>
  </si>
  <si>
    <t>/* 508: NC_HANDLER */</t>
  </si>
  <si>
    <t>/* 509: NC_HANDLER */</t>
  </si>
  <si>
    <t>/* 510: NC_HANDLER */</t>
  </si>
  <si>
    <t>/* 511: NC_HANDLER */</t>
  </si>
  <si>
    <t>/* 512: NC_HANDLER */</t>
  </si>
  <si>
    <t>/* 513: NC_HANDLER */</t>
  </si>
  <si>
    <t>/* 514: NC_HANDLER */</t>
  </si>
  <si>
    <t>/* 515: NC_HANDLER */</t>
  </si>
  <si>
    <t>/* 516: NC_HANDLER */</t>
  </si>
  <si>
    <t>/* 517: NC_HANDLER */</t>
  </si>
  <si>
    <t>/* 518: NC_HANDLER */</t>
  </si>
  <si>
    <t>/* 519: NC_HANDLER */</t>
  </si>
  <si>
    <t>/* 520: NC_HANDLER */</t>
  </si>
  <si>
    <t>/* 521: NC_HANDLER */</t>
  </si>
  <si>
    <t>/* 522: NC_HANDLER */</t>
  </si>
  <si>
    <t>/* 523: NC_HANDLER */</t>
  </si>
  <si>
    <t>/* 524: NC_HANDLER */</t>
  </si>
  <si>
    <t>/* 525: NC_HANDLER */</t>
  </si>
  <si>
    <t>/* 526: NC_HANDLER */</t>
  </si>
  <si>
    <t>/* 527: NC_HANDLER */</t>
  </si>
  <si>
    <t>/* 528: NC_HANDLER */</t>
  </si>
  <si>
    <t>/* 529: NC_HANDLER */</t>
  </si>
  <si>
    <t>/* 530: NC_HANDLER */</t>
  </si>
  <si>
    <t>/* 531: NC_HANDLER */</t>
  </si>
  <si>
    <t>/* 532: NC_HANDLER */</t>
  </si>
  <si>
    <t>/* 533: NC_HANDLER */</t>
  </si>
  <si>
    <t>/* 534: NC_HANDLER */</t>
  </si>
  <si>
    <t>/* 535: NC_HANDLER */</t>
  </si>
  <si>
    <t>/* 536: NC_HANDLER */</t>
  </si>
  <si>
    <t>/* 537: NC_HANDLER */</t>
  </si>
  <si>
    <t>/* 538: NC_HANDLER */</t>
  </si>
  <si>
    <t>/* 539: NC_HANDLER */</t>
  </si>
  <si>
    <t>/* 540: NC_HANDLER */</t>
  </si>
  <si>
    <t>/* 541: NC_HANDLER */</t>
  </si>
  <si>
    <t>/* 542: NC_HANDLER */</t>
  </si>
  <si>
    <t>/* 543: NC_HANDLER */</t>
  </si>
  <si>
    <t>/* 544: NC_HANDLER */</t>
  </si>
  <si>
    <t>/* 545: NC_HANDLER */</t>
  </si>
  <si>
    <t>/* 546: NC_HANDLER */</t>
  </si>
  <si>
    <t>/* 547: NC_HANDLER */</t>
  </si>
  <si>
    <t>/* 548: NC_HANDLER */</t>
  </si>
  <si>
    <t>/* 549: NC_HANDLER */</t>
  </si>
  <si>
    <t>/* 550: NC_HANDLER */</t>
  </si>
  <si>
    <t>/* 551: NC_HANDLER */</t>
  </si>
  <si>
    <t>/* 552: TCPWM_0_INTERRUPTS_0_HANDLER */</t>
  </si>
  <si>
    <t>/* 553: TCPWM_0_INTERRUPTS_1_HANDLER */</t>
  </si>
  <si>
    <t>/* 554: TCPWM_0_INTERRUPTS_2_HANDLER */</t>
  </si>
  <si>
    <t>/* 555: TCPWM_0_INTERRUPTS_3_HANDLER */</t>
  </si>
  <si>
    <t>/* 556: TCPWM_0_INTERRUPTS_4_HANDLER */</t>
  </si>
  <si>
    <t>/* 557: TCPWM_0_INTERRUPTS_5_HANDLER */</t>
  </si>
  <si>
    <t>/* 558: TCPWM_0_INTERRUPTS_6_HANDLER */</t>
  </si>
  <si>
    <t>/* 559: TCPWM_0_INTERRUPTS_7_HANDLER */</t>
  </si>
  <si>
    <t>/* 560: TCPWM_0_INTERRUPTS_8_HANDLER */</t>
  </si>
  <si>
    <t>/* 561: TCPWM_0_INTERRUPTS_9_HANDLER */</t>
  </si>
  <si>
    <t>/* 562: TCPWM_0_INTERRUPTS_10_HANDLER */</t>
  </si>
  <si>
    <t>/* 563: TCPWM_0_INTERRUPTS_11_HANDLER */</t>
  </si>
  <si>
    <t>/* 564: TCPWM_0_INTERRUPTS_12_HANDLER */</t>
  </si>
  <si>
    <t>/* 565: TCPWM_0_INTERRUPTS_13_HANDLER */</t>
  </si>
  <si>
    <t>/* 566: TCPWM_0_INTERRUPTS_14_HANDLER */</t>
  </si>
  <si>
    <t>/* 567: TCPWM_0_INTERRUPTS_15_HANDLER */</t>
  </si>
  <si>
    <t>/* 568: TCPWM_0_INTERRUPTS_16_HANDLER */</t>
  </si>
  <si>
    <t>/* 569: TCPWM_0_INTERRUPTS_17_HANDLER */</t>
  </si>
  <si>
    <t>/* 570: TCPWM_0_INTERRUPTS_18_HANDLER */</t>
  </si>
  <si>
    <t>/* 571: TCPWM_0_INTERRUPTS_19_HANDLER */</t>
  </si>
  <si>
    <t>/* 572: TCPWM_0_INTERRUPTS_20_HANDLER */</t>
  </si>
  <si>
    <t>/* 573: TCPWM_0_INTERRUPTS_21_HANDLER */</t>
  </si>
  <si>
    <t>/* 574: TCPWM_0_INTERRUPTS_22_HANDLER */</t>
  </si>
  <si>
    <t>/* 575: TCPWM_0_INTERRUPTS_23_HANDLER */</t>
  </si>
  <si>
    <t>/* 576: TCPWM_0_INTERRUPTS_24_HANDLER */</t>
  </si>
  <si>
    <t>/* 577: TCPWM_0_INTERRUPTS_25_HANDLER */</t>
  </si>
  <si>
    <t>/* 578: TCPWM_0_INTERRUPTS_26_HANDLER */</t>
  </si>
  <si>
    <t>/* 579: TCPWM_0_INTERRUPTS_27_HANDLER */</t>
  </si>
  <si>
    <t>/* 580: TCPWM_0_INTERRUPTS_28_HANDLER */</t>
  </si>
  <si>
    <t>/* 581: TCPWM_0_INTERRUPTS_29_HANDLER */</t>
  </si>
  <si>
    <t>/* 582: TCPWM_0_INTERRUPTS_30_HANDLER */</t>
  </si>
  <si>
    <t>/* 583: TCPWM_0_INTERRUPTS_31_HANDLER */</t>
  </si>
  <si>
    <t>/* 584: TCPWM_0_INTERRUPTS_32_HANDLER */</t>
  </si>
  <si>
    <t>/* 585: TCPWM_0_INTERRUPTS_33_HANDLER */</t>
  </si>
  <si>
    <t>/* 586: TCPWM_0_INTERRUPTS_34_HANDLER */</t>
  </si>
  <si>
    <t>/* 587: TCPWM_0_INTERRUPTS_35_HANDLER */</t>
  </si>
  <si>
    <t>/* 588: TCPWM_0_INTERRUPTS_36_HANDLER */</t>
  </si>
  <si>
    <t>/* 589: TCPWM_0_INTERRUPTS_37_HANDLER */</t>
  </si>
  <si>
    <t>/* 590: NC_HANDLER */</t>
  </si>
  <si>
    <t>/* 591: NC_HANDLER */</t>
  </si>
  <si>
    <t>/* 592: NC_HANDLER */</t>
  </si>
  <si>
    <t>/* 593: NC_HANDLER */</t>
  </si>
  <si>
    <t>/* 594: NC_HANDLER */</t>
  </si>
  <si>
    <t>/* 595: NC_HANDLER */</t>
  </si>
  <si>
    <t>/* 596: NC_HANDLER */</t>
  </si>
  <si>
    <t>/* 597: NC_HANDLER */</t>
  </si>
  <si>
    <t>/* 598: NC_HANDLER */</t>
  </si>
  <si>
    <t>/* 599: NC_HANDLER */</t>
  </si>
  <si>
    <t>/* 600: NC_HANDLER */</t>
  </si>
  <si>
    <t>/* 601: NC_HANDLER */</t>
  </si>
  <si>
    <t>/* 602: NC_HANDLER */</t>
  </si>
  <si>
    <t>/* 603: NC_HANDLER */</t>
  </si>
  <si>
    <t>/* 604: NC_HANDLER */</t>
  </si>
  <si>
    <t>/* 605: NC_HANDLER */</t>
  </si>
  <si>
    <t>/* 606: NC_HANDLER */</t>
  </si>
  <si>
    <t>/* 607: NC_HANDLER */</t>
  </si>
  <si>
    <t>/* 608: NC_HANDLER */</t>
  </si>
  <si>
    <t>/* 609: NC_HANDLER */</t>
  </si>
  <si>
    <t>/* 610: NC_HANDLER */</t>
  </si>
  <si>
    <t>/* 611: NC_HANDLER */</t>
  </si>
  <si>
    <t>/* 612: NC_HANDLER */</t>
  </si>
  <si>
    <t>/* 613: NC_HANDLER */</t>
  </si>
  <si>
    <t>/* 614: NC_HANDLER */</t>
  </si>
  <si>
    <t>/* 615: NC_HANDLER */</t>
  </si>
  <si>
    <t>/* 616: TCPWM_0_INTERRUPTS_256_HANDLER */</t>
  </si>
  <si>
    <t>/* 617: TCPWM_0_INTERRUPTS_257_HANDLER */</t>
  </si>
  <si>
    <t>/* 618: TCPWM_0_INTERRUPTS_258_HANDLER */</t>
  </si>
  <si>
    <t>/* 619: TCPWM_0_INTERRUPTS_259_HANDLER */</t>
  </si>
  <si>
    <t>/* 620: TCPWM_0_INTERRUPTS_260_HANDLER */</t>
  </si>
  <si>
    <t>/* 621: TCPWM_0_INTERRUPTS_261_HANDLER */</t>
  </si>
  <si>
    <t>/* 622: TCPWM_0_INTERRUPTS_262_HANDLER */</t>
  </si>
  <si>
    <t>/* 623: TCPWM_0_INTERRUPTS_263_HANDLER */</t>
  </si>
  <si>
    <t>/* 624: TCPWM_0_INTERRUPTS_264_HANDLER */</t>
  </si>
  <si>
    <t>/* 625: TCPWM_0_INTERRUPTS_265_HANDLER */</t>
  </si>
  <si>
    <t>/* 626: TCPWM_0_INTERRUPTS_266_HANDLER */</t>
  </si>
  <si>
    <t>/* 627: TCPWM_0_INTERRUPTS_267_HANDLER */</t>
  </si>
  <si>
    <t>/* 628: NC_HANDLER */</t>
  </si>
  <si>
    <t>/* 629: NC_HANDLER */</t>
  </si>
  <si>
    <t>/* 630: NC_HANDLER */</t>
  </si>
  <si>
    <t>/* 631: NC_HANDLER */</t>
  </si>
  <si>
    <t>/* 632: NC_HANDLER */</t>
  </si>
  <si>
    <t>/* 633: NC_HANDLER */</t>
  </si>
  <si>
    <t>/* 634: NC_HANDLER */</t>
  </si>
  <si>
    <t>/* 635: NC_HANDLER */</t>
  </si>
  <si>
    <t>/* 636: NC_HANDLER */</t>
  </si>
  <si>
    <t>/* 637: NC_HANDLER */</t>
  </si>
  <si>
    <t>/* 638: NC_HANDLER */</t>
  </si>
  <si>
    <t>/* 639: NC_HANDLER */</t>
  </si>
  <si>
    <t>/* 640: NC_HANDLER */</t>
  </si>
  <si>
    <t>/* 641: NC_HANDLER */</t>
  </si>
  <si>
    <t>/* 642: NC_HANDLER */</t>
  </si>
  <si>
    <t>/* 643: NC_HANDLER */</t>
  </si>
  <si>
    <t>/* 644: NC_HANDLER */</t>
  </si>
  <si>
    <t>/* 645: NC_HANDLER */</t>
  </si>
  <si>
    <t>/* 646: NC_HANDLER */</t>
  </si>
  <si>
    <t>/* 647: NC_HANDLER */</t>
  </si>
  <si>
    <t>/* 648: NC_HANDLER */</t>
  </si>
  <si>
    <t>/* 649: NC_HANDLER */</t>
  </si>
  <si>
    <t>/* 650: NC_HANDLER */</t>
  </si>
  <si>
    <t>/* 651: NC_HANDLER */</t>
  </si>
  <si>
    <t>/* 652: NC_HANDLER */</t>
  </si>
  <si>
    <t>/* 653: NC_HANDLER */</t>
  </si>
  <si>
    <t>/* 654: NC_HANDLER */</t>
  </si>
  <si>
    <t>/* 655: NC_HANDLER */</t>
  </si>
  <si>
    <t>/* 656: NC_HANDLER */</t>
  </si>
  <si>
    <t>/* 657: NC_HANDLER */</t>
  </si>
  <si>
    <t>/* 658: NC_HANDLER */</t>
  </si>
  <si>
    <t>/* 659: NC_HANDLER */</t>
  </si>
  <si>
    <t>/* 660: NC_HANDLER */</t>
  </si>
  <si>
    <t>/* 661: NC_HANDLER */</t>
  </si>
  <si>
    <t>/* 662: NC_HANDLER */</t>
  </si>
  <si>
    <t>/* 663: NC_HANDLER */</t>
  </si>
  <si>
    <t>/* 664: NC_HANDLER */</t>
  </si>
  <si>
    <t>/* 665: NC_HANDLER */</t>
  </si>
  <si>
    <t>/* 666: NC_HANDLER */</t>
  </si>
  <si>
    <t>/* 667: NC_HANDLER */</t>
  </si>
  <si>
    <t>/* 668: NC_HANDLER */</t>
  </si>
  <si>
    <t>/* 669: NC_HANDLER */</t>
  </si>
  <si>
    <t>/* 670: NC_HANDLER */</t>
  </si>
  <si>
    <t>/* 671: NC_HANDLER */</t>
  </si>
  <si>
    <t>/* 672: NC_HANDLER */</t>
  </si>
  <si>
    <t>/* 673: NC_HANDLER */</t>
  </si>
  <si>
    <t>/* 674: NC_HANDLER */</t>
  </si>
  <si>
    <t>/* 675: NC_HANDLER */</t>
  </si>
  <si>
    <t>/* 676: NC_HANDLER */</t>
  </si>
  <si>
    <t>/* 677: NC_HANDLER */</t>
  </si>
  <si>
    <t>/* 678: NC_HANDLER */</t>
  </si>
  <si>
    <t>/* 679: NC_HANDLER */</t>
  </si>
  <si>
    <t>/* 680: TCPWM_0_INTERRUPTS_512_HANDLER */</t>
  </si>
  <si>
    <t>/* 681: TCPWM_0_INTERRUPTS_513_HANDLER */</t>
  </si>
  <si>
    <t>/* 682: TCPWM_0_INTERRUPTS_514_HANDLER */</t>
  </si>
  <si>
    <t>/* 683: TCPWM_0_INTERRUPTS_515_HANDLER */</t>
  </si>
  <si>
    <t>/* 684: TCPWM_0_INTERRUPTS_516_HANDLER */</t>
  </si>
  <si>
    <t>/* 685: TCPWM_0_INTERRUPTS_517_HANDLER */</t>
  </si>
  <si>
    <t>/* 686: TCPWM_0_INTERRUPTS_518_HANDLER */</t>
  </si>
  <si>
    <t>/* 687: TCPWM_0_INTERRUPTS_519_HANDLER */</t>
  </si>
  <si>
    <t>/* 688: TCPWM_0_INTERRUPTS_520_HANDLER */</t>
  </si>
  <si>
    <t>/* 689: TCPWM_0_INTERRUPTS_521_HANDLER */</t>
  </si>
  <si>
    <t>/* 690: TCPWM_0_INTERRUPTS_522_HANDLER */</t>
  </si>
  <si>
    <t>/* 691: TCPWM_0_INTERRUPTS_523_HANDLER */</t>
  </si>
  <si>
    <t>/* 692: TCPWM_0_INTERRUPTS_524_HANDLER */</t>
  </si>
  <si>
    <t>/* 693: TCPWM_0_INTERRUPTS_525_HANDLER */</t>
  </si>
  <si>
    <t>/* 694: TCPWM_0_INTERRUPTS_526_HANDLER */</t>
  </si>
  <si>
    <t>/* 695: TCPWM_0_INTERRUPTS_527_HANDLER */</t>
  </si>
  <si>
    <t>/* 696: TCPWM_0_INTERRUPTS_528_HANDLER */</t>
  </si>
  <si>
    <t>/* 697: TCPWM_0_INTERRUPTS_529_HANDLER */</t>
  </si>
  <si>
    <t>/* 698: TCPWM_0_INTERRUPTS_530_HANDLER */</t>
  </si>
  <si>
    <t>/* 699: TCPWM_0_INTERRUPTS_531_HANDLER */</t>
  </si>
  <si>
    <t>/* 700: TCPWM_0_INTERRUPTS_532_HANDLER */</t>
  </si>
  <si>
    <t>/* 701: TCPWM_0_INTERRUPTS_533_HANDLER */</t>
  </si>
  <si>
    <t>/* 702: TCPWM_0_INTERRUPTS_534_HANDLER */</t>
  </si>
  <si>
    <t>/* 703: TCPWM_0_INTERRUPTS_535_HANDLER */</t>
  </si>
  <si>
    <t>/* 704: TCPWM_0_INTERRUPTS_536_HANDLER */</t>
  </si>
  <si>
    <t>/* 705: TCPWM_0_INTERRUPTS_537_HANDLER */</t>
  </si>
  <si>
    <t>/* 706: TCPWM_0_INTERRUPTS_538_HANDLER */</t>
  </si>
  <si>
    <t>/* 707: TCPWM_0_INTERRUPTS_539_HANDLER */</t>
  </si>
  <si>
    <t>/* 708: TCPWM_0_INTERRUPTS_540_HANDLER */</t>
  </si>
  <si>
    <t>/* 709: TCPWM_0_INTERRUPTS_541_HANDLER */</t>
  </si>
  <si>
    <t>/* 710: TCPWM_0_INTERRUPTS_542_HANDLER */</t>
  </si>
  <si>
    <t>/* 711: TCPWM_0_INTERRUPTS_543_HANDLER */</t>
  </si>
  <si>
    <t>/* 712: NC_HANDLER */</t>
  </si>
  <si>
    <t>/* 713: NC_HANDLER */</t>
  </si>
  <si>
    <t>/* 714: NC_HANDLER */</t>
  </si>
  <si>
    <t>/* 715: NC_HANDLER */</t>
  </si>
  <si>
    <t>/* 716: NC_HANDLER */</t>
  </si>
  <si>
    <t>/* 717: NC_HANDLER */</t>
  </si>
  <si>
    <t>/* 718: NC_HANDLER */</t>
  </si>
  <si>
    <t>/* 719: NC_HANDLER */</t>
  </si>
  <si>
    <t>/* 720: NC_HANDLER */</t>
  </si>
  <si>
    <t>/* 721: NC_HANDLER */</t>
  </si>
  <si>
    <t>/* 722: NC_HANDLER */</t>
  </si>
  <si>
    <t>/* 723: NC_HANDLER */</t>
  </si>
  <si>
    <t>/* 724: NC_HANDLER */</t>
  </si>
  <si>
    <t>/* 725: NC_HANDLER */</t>
  </si>
  <si>
    <t>/* 726: NC_HANDLER */</t>
  </si>
  <si>
    <t>/* 727: NC_HANDLER */</t>
  </si>
  <si>
    <t>/* 728: NC_HANDLER */</t>
  </si>
  <si>
    <t>/* 729: NC_HANDLER */</t>
  </si>
  <si>
    <t>/* 730: NC_HANDLER */</t>
  </si>
  <si>
    <t>/* 731: NC_HANDLER */</t>
  </si>
  <si>
    <t>/* 732: NC_HANDLER */</t>
  </si>
  <si>
    <t>/* 733: NC_HANDLER */</t>
  </si>
  <si>
    <t>/* 734: NC_HANDLER */</t>
  </si>
  <si>
    <t>/* 735: NC_HANDLER */</t>
  </si>
  <si>
    <t>/* 736: NC_HANDLER */</t>
  </si>
  <si>
    <t>/* 737: NC_HANDLER */</t>
  </si>
  <si>
    <t>/* 738: NC_HANDLER */</t>
  </si>
  <si>
    <t>/* 739: NC_HANDLER */</t>
  </si>
  <si>
    <t>/* 740: NC_HANDLER */</t>
  </si>
  <si>
    <t>/* 741: NC_HANDLER */</t>
  </si>
  <si>
    <t>/* 742: NC_HANDLER */</t>
  </si>
  <si>
    <t>/* 743: NC_HANDLER */</t>
  </si>
  <si>
    <t>/* 744: I2S_0_INTERRUPTS_TX_0_HANDLER */</t>
  </si>
  <si>
    <t>/* 745: I2S_0_INTERRUPTS_RX_0_HANDLER */</t>
  </si>
  <si>
    <t>/* 746: I2S_0_INTERRUPTS_TX_1_HANDLER */</t>
  </si>
  <si>
    <t>/* 747: I2S_0_INTERRUPTS_RX_1_HANDLER */</t>
  </si>
  <si>
    <t>/* 748: I2S_0_INTERRUPTS_TX_2_HANDLER */</t>
  </si>
  <si>
    <t>/* 749: I2S_0_INTERRUPTS_RX_2_HANDLER */</t>
  </si>
  <si>
    <t>/* 750: I2S_0_INTERRUPTS_TX_3_HANDLER */</t>
  </si>
  <si>
    <t>/* 751: I2S_0_INTERRUPTS_RX_3_HANDLER */</t>
  </si>
  <si>
    <t>/* 752: TDM_0_INTERRUPTS_TX_0_HANDLER */</t>
  </si>
  <si>
    <t>/* 753: TDM_0_INTERRUPTS_RX_0_HANDLER */</t>
  </si>
  <si>
    <t>/* 754: TDM_0_INTERRUPTS_TX_1_HANDLER */</t>
  </si>
  <si>
    <t>/* 755: TDM_0_INTERRUPTS_RX_1_HANDLER */</t>
  </si>
  <si>
    <t>/* 756: TDM_0_INTERRUPTS_TX_2_HANDLER */</t>
  </si>
  <si>
    <t>/* 757: TDM_0_INTERRUPTS_RX_2_HANDLER */</t>
  </si>
  <si>
    <t>/* 758: TDM_0_INTERRUPTS_TX_3_HANDLER */</t>
  </si>
  <si>
    <t>/* 759: TDM_0_INTERRUPTS_RX_3_HANDLER */</t>
  </si>
  <si>
    <t>/* 760: SG_0_INTERRUPTS_0_HANDLER */</t>
  </si>
  <si>
    <t>/* 761: SG_0_INTERRUPTS_1_HANDLER */</t>
  </si>
  <si>
    <t>/* 762: SG_0_INTERRUPTS_2_HANDLER */</t>
  </si>
  <si>
    <t>/* 763: SG_0_INTERRUPTS_3_HANDLER */</t>
  </si>
  <si>
    <t>/* 764: SG_0_INTERRUPTS_4_HANDLER */</t>
  </si>
  <si>
    <t>/* 765: NC_HANDLER */</t>
  </si>
  <si>
    <t>/* 766: NC_HANDLER */</t>
  </si>
  <si>
    <t>/* 767: NC_HANDLER */</t>
  </si>
  <si>
    <t>/* 768: PWM_0_INTERRUPTS_0_HANDLER */</t>
  </si>
  <si>
    <t>/* 769: PWM_0_INTERRUPTS_1_HANDLER */</t>
  </si>
  <si>
    <t>/* 770: NC_HANDLER */</t>
  </si>
  <si>
    <t>/* 771: NC_HANDLER */</t>
  </si>
  <si>
    <t>/* 772: NC_HANDLER */</t>
  </si>
  <si>
    <t>/* 773: NC_HANDLER */</t>
  </si>
  <si>
    <t>/* 774: NC_HANDLER */</t>
  </si>
  <si>
    <t>/* 775: NC_HANDLER */</t>
  </si>
  <si>
    <t>/* 776: DAC_0_INTERRUPT_HANDLER */</t>
  </si>
  <si>
    <t>/* 777: NC_HANDLER */</t>
  </si>
  <si>
    <t>/* 778: NC_HANDLER */</t>
  </si>
  <si>
    <t>/* 779: NC_HANDLER */</t>
  </si>
  <si>
    <t>/* 780: MIXER_0_INTERRUPT_DST_HANDLER */</t>
  </si>
  <si>
    <t>/* 781: MIXER_0_INTERRUPTS_SRC_0_HANDLER */</t>
  </si>
  <si>
    <t>/* 782: MIXER_0_INTERRUPTS_SRC_1_HANDLER */</t>
  </si>
  <si>
    <t>/* 783: MIXER_0_INTERRUPTS_SRC_2_HANDLER */</t>
  </si>
  <si>
    <t>/* 784: MIXER_0_INTERRUPTS_SRC_3_HANDLER */</t>
  </si>
  <si>
    <t>/* 785: MIXER_0_INTERRUPTS_SRC_4_HANDLER */</t>
  </si>
  <si>
    <t>/* 786: NC_HANDLER */</t>
  </si>
  <si>
    <t>/* 787: NC_HANDLER */</t>
  </si>
  <si>
    <t>/* 788: NC_HANDLER */</t>
  </si>
  <si>
    <t>/* 789: MIXER_1_INTERRUPT_DST_HANDLER */</t>
  </si>
  <si>
    <t>/* 790: MIXER_1_INTERRUPTS_SRC_0_HANDLER */</t>
  </si>
  <si>
    <t>/* 791: MIXER_1_INTERRUPTS_SRC_1_HANDLER */</t>
  </si>
  <si>
    <t>/* 792: MIXER_1_INTERRUPTS_SRC_2_HANDLER */</t>
  </si>
  <si>
    <t>/* 793: MIXER_1_INTERRUPTS_SRC_3_HANDLER */</t>
  </si>
  <si>
    <t>/* 794: MIXER_1_INTERRUPTS_SRC_4_HANDLER */</t>
  </si>
  <si>
    <t>/* #17: CPU User Interrupt 1*/</t>
  </si>
  <si>
    <t>/* #18: CPU User Interrupt 2*/</t>
  </si>
  <si>
    <t>/* #19: CPU User Interrupt 3*/</t>
  </si>
  <si>
    <t>/* #20: CPU User Interrupt 4*/</t>
  </si>
  <si>
    <t>/* #21: CPU User Interrupt 5*/</t>
  </si>
  <si>
    <t>/* #22: CPU User Interrupt 6*/</t>
  </si>
  <si>
    <t>/* #23: CPU User Interrupt 7*/</t>
  </si>
  <si>
    <t>/* #24: CPU User Interrupt 8*/</t>
  </si>
  <si>
    <t>/* #15: CPU User Interrupt 9*/</t>
  </si>
  <si>
    <t>/* #26: CPU User Interrupt 10*/</t>
  </si>
  <si>
    <t>/* #27: CPU User Interrupt 11*/</t>
  </si>
  <si>
    <t>/* #28: CPU User Interrupt 12*/</t>
  </si>
  <si>
    <t>/* #29: CPU User Interrupt 13*/</t>
  </si>
  <si>
    <t>/* #30: CPU User Interrupt 14*/</t>
  </si>
  <si>
    <t>/* #31: CPU User Interrupt 15*/</t>
  </si>
  <si>
    <t>osISRWrap_CpuUserInt0_Handler</t>
  </si>
  <si>
    <t>osISRWrap_CpuUserInt1_Handler</t>
  </si>
  <si>
    <t>osISRWrap_CpuUserInt2_Handler</t>
  </si>
  <si>
    <t>osISRWrap_CpuUserInt3_Handler</t>
  </si>
  <si>
    <t>osISRWrap_CpuUserInt4_Handler</t>
  </si>
  <si>
    <t>osISRWrap_CpuUserInt5_Handler</t>
  </si>
  <si>
    <t>osISRWrap_CpuUserInt6_Handler</t>
  </si>
  <si>
    <t>osISRWrap_CpuUserInt7_Handler</t>
  </si>
  <si>
    <t>Cpu IRQ#</t>
  </si>
  <si>
    <t>GPT_0_ISR</t>
  </si>
  <si>
    <t>This sheet will be auto modified for Cortex M4 and M7 core</t>
  </si>
  <si>
    <t>v1.10</t>
  </si>
  <si>
    <t>Updated to support TraveoII ISR</t>
  </si>
  <si>
    <t>Number Of Cores</t>
  </si>
  <si>
    <t>Number Of OsApplication</t>
  </si>
  <si>
    <t>Object</t>
  </si>
  <si>
    <t>Number Of Isrs</t>
  </si>
  <si>
    <t>Object Type</t>
  </si>
  <si>
    <t>Os Application</t>
  </si>
  <si>
    <t>Mpu Template Id</t>
  </si>
  <si>
    <t>Os Application Name</t>
  </si>
  <si>
    <t>Core Id</t>
  </si>
  <si>
    <t>HookRef</t>
  </si>
  <si>
    <t>Region #</t>
  </si>
  <si>
    <t>Attributes</t>
  </si>
  <si>
    <t>Size (in Log2)</t>
  </si>
  <si>
    <t>Max Regions</t>
  </si>
  <si>
    <t>Access</t>
  </si>
  <si>
    <t>Permission</t>
  </si>
  <si>
    <t>Memory Order</t>
  </si>
  <si>
    <t>EXECUTE_ALLOWED</t>
  </si>
  <si>
    <t>OsMpu_TrustedSystem</t>
  </si>
  <si>
    <t>Base Address (Hex)</t>
  </si>
  <si>
    <t>S_RW_U_RW</t>
  </si>
  <si>
    <t>Number Of Mpu Containers</t>
  </si>
  <si>
    <t>OsApplication_TrustedSystem</t>
  </si>
  <si>
    <t>Number Of OsObjects</t>
  </si>
  <si>
    <t>TASK</t>
  </si>
  <si>
    <t>ISR</t>
  </si>
  <si>
    <t>/* #552: GPT0_ISR */</t>
  </si>
  <si>
    <t>OsHookConfigList_App</t>
  </si>
  <si>
    <t>InitTask</t>
  </si>
  <si>
    <t>osdInitTask_TOP</t>
  </si>
  <si>
    <t>OsTask_IdleTask</t>
  </si>
  <si>
    <t>osdOsTask_IdleTask_TOP</t>
  </si>
  <si>
    <t>Os Core Name</t>
  </si>
  <si>
    <t>Is Autosar</t>
  </si>
  <si>
    <t>OsCoreAsr0</t>
  </si>
  <si>
    <t>OsHookConfigList_Core0</t>
  </si>
  <si>
    <t>Total Num Of Applications</t>
  </si>
  <si>
    <t>OwnAppRef</t>
  </si>
  <si>
    <t>OwnObjectRef</t>
  </si>
  <si>
    <t>Trusted Service Name</t>
  </si>
  <si>
    <t>Number Of Trusted Calls</t>
  </si>
  <si>
    <t>MPU Container Name</t>
  </si>
  <si>
    <t>Os Status Configuration</t>
  </si>
  <si>
    <t>EXTENDED</t>
  </si>
  <si>
    <t>MPU Settings</t>
  </si>
  <si>
    <t>Number Of OsApplications</t>
  </si>
  <si>
    <t>Do Not update Grey Filled cells manually</t>
  </si>
  <si>
    <t>/* #0: Stack Pointer*/</t>
  </si>
  <si>
    <t>v2.0</t>
  </si>
  <si>
    <t>Updated to support mOS SC3 and ASIL B</t>
  </si>
  <si>
    <t>OsTask_SafeBsw_0</t>
  </si>
  <si>
    <t>OsCfgCriticalSectionStartHook()</t>
  </si>
  <si>
    <t>OsCfgCriticalSectionStoptHook()</t>
  </si>
  <si>
    <t>Parameter Type</t>
  </si>
  <si>
    <t>Direction</t>
  </si>
  <si>
    <t>Number Of TrustedCalls</t>
  </si>
  <si>
    <t>Parameter Name</t>
  </si>
  <si>
    <t>Num Of Arguments</t>
  </si>
  <si>
    <t>File Includes</t>
  </si>
  <si>
    <t>v2.1</t>
  </si>
  <si>
    <t>Trusted Call Configuration Support</t>
  </si>
  <si>
    <t>Sub Region</t>
  </si>
  <si>
    <t>Return Val</t>
  </si>
  <si>
    <t>Micro</t>
  </si>
  <si>
    <t>osdCtxTask</t>
  </si>
  <si>
    <t>void</t>
  </si>
  <si>
    <t>Can_ISR_A</t>
  </si>
  <si>
    <t>GPT_3_ISR</t>
  </si>
  <si>
    <t>Can_ISR_B</t>
  </si>
  <si>
    <t>ADC_SARADC_ISR_UNIT0</t>
  </si>
  <si>
    <t>osISRWrap_IRQSTEER_EXT_3_ISR</t>
  </si>
  <si>
    <t>/* #51: IRQSTEER_EXT_3_ISR */</t>
  </si>
  <si>
    <t>/* #267: Can_ISR_A */</t>
  </si>
  <si>
    <t>osISRWrap_IRQSTEER_EXT_4_ISR</t>
  </si>
  <si>
    <t>/* #52: IRQSTEER_EXT_4_ISR */</t>
  </si>
  <si>
    <t>osISRWrap_IRQSTEER_EXT_1_ISR</t>
  </si>
  <si>
    <t>/* #49: IRQSTEER_EXT_1_ISR */</t>
  </si>
  <si>
    <t>/* #268: Can_ISR_B */</t>
  </si>
  <si>
    <t>osISRWrap_IRQSTEER_EXT_6_ISR</t>
  </si>
  <si>
    <t>/* #54: IRQSTEER_EXT_6_ISR */</t>
  </si>
  <si>
    <t>osISRWrap_GPT_LPIT</t>
  </si>
  <si>
    <t>/* #22: GPT_LPIT */</t>
  </si>
  <si>
    <t>ARM Cortex M7</t>
  </si>
  <si>
    <t>/* 0:  CPUSS_INTERRUPTS_IPC_0_HANDLER          */</t>
  </si>
  <si>
    <t>/* 1:  CPUSS_INTERRUPTS_IPC_1_HANDLER          */</t>
  </si>
  <si>
    <t>/* 2:  CPUSS_INTERRUPTS_IPC_2_HANDLER          */</t>
  </si>
  <si>
    <t>/* 3:  CPUSS_INTERRUPTS_IPC_3_HANDLER          */</t>
  </si>
  <si>
    <t>/* 4:  CPUSS_INTERRUPTS_IPC_4_HANDLER          */</t>
  </si>
  <si>
    <t>/* 5:  CPUSS_INTERRUPTS_IPC_5_HANDLER          */</t>
  </si>
  <si>
    <t>/* 6:  CPUSS_INTERRUPTS_IPC_6_HANDLER          */</t>
  </si>
  <si>
    <t>/* 7:  CPUSS_INTERRUPTS_IPC_7_HANDLER          */</t>
  </si>
  <si>
    <t>/* 8:  CPUSS_INTERRUPTS_FAULT_0_HANDLER        */</t>
  </si>
  <si>
    <t>/* 9:  CPUSS_INTERRUPTS_FAULT_1_HANDLER        */</t>
  </si>
  <si>
    <t>/* 10:  CPUSS_INTERRUPTS_FAULT_2_HANDLER        */</t>
  </si>
  <si>
    <t>/* 11:  CPUSS_INTERRUPTS_FAULT_3_HANDLER        */</t>
  </si>
  <si>
    <t>/* 12:  SRSS_INTERRUPT_BACKUP_HANDLER           */</t>
  </si>
  <si>
    <t>/* 13:  SRSS_INTERRUPT_MCWDT_0_HANDLER          */</t>
  </si>
  <si>
    <t>/* 14:  SRSS_INTERRUPT_MCWDT_1_HANDLER          */</t>
  </si>
  <si>
    <t>/* 15:  SRSS_INTERRUPT_MCWDT_2_HANDLER          */</t>
  </si>
  <si>
    <t>/* 16:  SRSS_INTERRUPT_WDT_HANDLER              */</t>
  </si>
  <si>
    <t>/* 17:  SRSS_INTERRUPT_HANDLER                  */</t>
  </si>
  <si>
    <t>/* 18:  SCB_0_INTERRUPT_HANDLER                 */</t>
  </si>
  <si>
    <t>/* 19:  EVTGEN_0_INTERRUPT_DPSLP_HANDLER        */</t>
  </si>
  <si>
    <t>/* 20:  IOSS_INTERRUPT_VDD_HANDLER              */</t>
  </si>
  <si>
    <t>/* 21:  IOSS_INTERRUPT_GPIO_DPSLP_HANDLER       */</t>
  </si>
  <si>
    <t>/* 22:  IOSS_INTERRUPTS_GPIO_DPSLP_0_HANDLER    */</t>
  </si>
  <si>
    <t>/* 23:  IOSS_INTERRUPTS_GPIO_DPSLP_1_HANDLER    */</t>
  </si>
  <si>
    <t>/* 24:  IOSS_INTERRUPTS_GPIO_DPSLP_2_HANDLER    */</t>
  </si>
  <si>
    <t>/* 25:  IOSS_INTERRUPTS_GPIO_DPSLP_3_HANDLER    */</t>
  </si>
  <si>
    <t>/* 26:  IOSS_INTERRUPTS_GPIO_DPSLP_4_HANDLER    */</t>
  </si>
  <si>
    <t>/* 27:  IOSS_INTERRUPTS_GPIO_DPSLP_5_HANDLER    */</t>
  </si>
  <si>
    <t>/* 28:  IOSS_INTERRUPTS_GPIO_DPSLP_6_HANDLER    */</t>
  </si>
  <si>
    <t>/* 29:  IOSS_INTERRUPTS_GPIO_DPSLP_7_HANDLER    */</t>
  </si>
  <si>
    <t>/* 30:  IOSS_INTERRUPTS_GPIO_DPSLP_8_HANDLER    */</t>
  </si>
  <si>
    <t>/* 31:  IOSS_INTERRUPTS_GPIO_DPSLP_9_HANDLER    */</t>
  </si>
  <si>
    <t>/* 32:  IOSS_INTERRUPTS_GPIO_DPSLP_10_HANDLER   */</t>
  </si>
  <si>
    <t>/* 33:  IOSS_INTERRUPTS_GPIO_DPSLP_11_HANDLER   */</t>
  </si>
  <si>
    <t>/* 34:  IOSS_INTERRUPTS_GPIO_DPSLP_12_HANDLER   */</t>
  </si>
  <si>
    <t>/* 35:  IOSS_INTERRUPTS_GPIO_DPSLP_13_HANDLER   */</t>
  </si>
  <si>
    <t>/* 36:  IOSS_INTERRUPTS_GPIO_DPSLP_14_HANDLER   */</t>
  </si>
  <si>
    <t>/* 37:  IOSS_INTERRUPTS_GPIO_DPSLP_15_HANDLER   */</t>
  </si>
  <si>
    <t>/* 38:  IOSS_INTERRUPTS_GPIO_DPSLP_16_HANDLER   */</t>
  </si>
  <si>
    <t>/* 39:  IOSS_INTERRUPTS_GPIO_DPSLP_17_HANDLER   */</t>
  </si>
  <si>
    <t>/* 40:  IOSS_INTERRUPTS_GPIO_DPSLP_18_HANDLER   */</t>
  </si>
  <si>
    <t>/* 41:  IOSS_INTERRUPTS_GPIO_DPSLP_19_HANDLER   */</t>
  </si>
  <si>
    <t>/* 42:  IOSS_INTERRUPTS_GPIO_DPSLP_20_HANDLER   */</t>
  </si>
  <si>
    <t>/* 43:  IOSS_INTERRUPTS_GPIO_DPSLP_21_HANDLER   */</t>
  </si>
  <si>
    <t>/* 44:  IOSS_INTERRUPTS_GPIO_DPSLP_22_HANDLER   */</t>
  </si>
  <si>
    <t>/* 45:  IOSS_INTERRUPTS_GPIO_DPSLP_23_HANDLER   */</t>
  </si>
  <si>
    <t>/* 46:  IOSS_INTERRUPTS_GPIO_DPSLP_28_HANDLER   */</t>
  </si>
  <si>
    <t>/* 47:  IOSS_INTERRUPTS_GPIO_DPSLP_29_HANDLER   */</t>
  </si>
  <si>
    <t>/* 48:  IOSS_INTERRUPTS_GPIO_DPSLP_30_HANDLER   */</t>
  </si>
  <si>
    <t>/* 49:  IOSS_INTERRUPTS_GPIO_DPSLP_31_HANDLER   */</t>
  </si>
  <si>
    <t>/* 50:  IOSS_INTERRUPTS_GPIO_DPSLP_32_HANDLER   */</t>
  </si>
  <si>
    <t>/* 51:  IOSS_INTERRUPT_GPIO_ACT_HANDLER         */</t>
  </si>
  <si>
    <t>/* 52:  IOSS_INTERRUPTS_GPIO_ACT_24_HANDLER     */</t>
  </si>
  <si>
    <t>/* 53:  IOSS_INTERRUPTS_GPIO_ACT_25_HANDLER     */</t>
  </si>
  <si>
    <t>/* 54:  IOSS_INTERRUPTS_GPIO_ACT_26_HANDLER     */</t>
  </si>
  <si>
    <t>/* 55:  IOSS_INTERRUPTS_GPIO_ACT_27_HANDLER     */</t>
  </si>
  <si>
    <t>/* 56:  CPUSS_INTERRUPT_CRYPTO_HANDLER          */</t>
  </si>
  <si>
    <t>/* 57:  CPUSS_INTERRUPT_FM_HANDLER              */</t>
  </si>
  <si>
    <t>/* 58:  CPUSS_INTERRUPTS_CM7_0_FP_HANDLER       */</t>
  </si>
  <si>
    <t>/* 59:  CPUSS_INTERRUPTS_CM7_1_FP_HANDLER       */</t>
  </si>
  <si>
    <t>/* 60:  CPUSS_INTERRUPTS_CM0_CTI_0_HANDLER      */</t>
  </si>
  <si>
    <t>/* 61:  CPUSS_INTERRUPTS_CM0_CTI_1_HANDLER      */</t>
  </si>
  <si>
    <t>/* 62:  CPUSS_INTERRUPTS_CM7_0_CTI_0_HANDLER    */</t>
  </si>
  <si>
    <t>/* 63:  CPUSS_INTERRUPTS_CM7_0_CTI_1_HANDLER    */</t>
  </si>
  <si>
    <t>/* 64:  CPUSS_INTERRUPTS_CM7_1_CTI_0_HANDLER    */</t>
  </si>
  <si>
    <t>/* 65:  CPUSS_INTERRUPTS_CM7_1_CTI_1_HANDLER    */</t>
  </si>
  <si>
    <t>/* 66:  EVTGEN_0_INTERRUPT_HANDLER              */</t>
  </si>
  <si>
    <t>/* 67:  CANFD_0_INTERRUPT0_HANDLER              */</t>
  </si>
  <si>
    <t>/* 68:  CANFD_0_INTERRUPT1_HANDLER              */</t>
  </si>
  <si>
    <t>/* 69:  CANFD_1_INTERRUPT0_HANDLER              */</t>
  </si>
  <si>
    <t>/* 70:  CANFD_1_INTERRUPT1_HANDLER              */</t>
  </si>
  <si>
    <t>/* 71:  CANFD_0_INTERRUPTS0_0_HANDLER           */</t>
  </si>
  <si>
    <t>/* 72:  CANFD_0_INTERRUPTS0_1_HANDLER           */</t>
  </si>
  <si>
    <t>/* 73:  CANFD_0_INTERRUPTS0_2_HANDLER           */</t>
  </si>
  <si>
    <t>/* 74:  CANFD_0_INTERRUPTS0_3_HANDLER           */</t>
  </si>
  <si>
    <t>/* 75:  CANFD_0_INTERRUPTS1_0_HANDLER           */</t>
  </si>
  <si>
    <t>/* 76:  CANFD_0_INTERRUPTS1_1_HANDLER           */</t>
  </si>
  <si>
    <t>/* 77:  CANFD_0_INTERRUPTS1_2_HANDLER           */</t>
  </si>
  <si>
    <t>/* 78:  CANFD_0_INTERRUPTS1_3_HANDLER           */</t>
  </si>
  <si>
    <t>/* 79:  CANFD_1_INTERRUPTS0_0_HANDLER           */</t>
  </si>
  <si>
    <t>/* 80:  CANFD_1_INTERRUPTS0_1_HANDLER           */</t>
  </si>
  <si>
    <t>/* 81:  CANFD_1_INTERRUPTS0_2_HANDLER           */</t>
  </si>
  <si>
    <t>/* 82:  CANFD_1_INTERRUPTS0_3_HANDLER           */</t>
  </si>
  <si>
    <t>/* 83:  CANFD_1_INTERRUPTS1_0_HANDLER           */</t>
  </si>
  <si>
    <t>/* 84:  CANFD_1_INTERRUPTS1_1_HANDLER           */</t>
  </si>
  <si>
    <t>/* 85:  CANFD_1_INTERRUPTS1_2_HANDLER           */</t>
  </si>
  <si>
    <t>/* 86:  CANFD_1_INTERRUPTS1_3_HANDLER           */</t>
  </si>
  <si>
    <t>/* 87:  LIN_0_INTERRUPTS_0_HANDLER              */</t>
  </si>
  <si>
    <t>/* 88:  LIN_0_INTERRUPTS_1_HANDLER              */</t>
  </si>
  <si>
    <t>/* 89:  LIN_0_INTERRUPTS_2_HANDLER              */</t>
  </si>
  <si>
    <t>/* 90:  LIN_0_INTERRUPTS_3_HANDLER              */</t>
  </si>
  <si>
    <t>/* 91:  LIN_0_INTERRUPTS_4_HANDLER              */</t>
  </si>
  <si>
    <t>/* 92:  LIN_0_INTERRUPTS_5_HANDLER              */</t>
  </si>
  <si>
    <t>/* 93:  LIN_0_INTERRUPTS_6_HANDLER              */</t>
  </si>
  <si>
    <t>/* 94:  LIN_0_INTERRUPTS_7_HANDLER              */</t>
  </si>
  <si>
    <t>/* 95:  LIN_0_INTERRUPTS_8_HANDLER              */</t>
  </si>
  <si>
    <t>/* 96:  LIN_0_INTERRUPTS_9_HANDLER              */</t>
  </si>
  <si>
    <t>/* 97:  LIN_0_INTERRUPTS_10_HANDLER             */</t>
  </si>
  <si>
    <t>/* 98:  LIN_0_INTERRUPTS_11_HANDLER             */</t>
  </si>
  <si>
    <t>/* 99:  LIN_0_INTERRUPTS_12_HANDLER             */</t>
  </si>
  <si>
    <t>/* 100:  LIN_0_INTERRUPTS_13_HANDLER             */</t>
  </si>
  <si>
    <t>/* 101:  LIN_0_INTERRUPTS_14_HANDLER             */</t>
  </si>
  <si>
    <t>/* 102:  LIN_0_INTERRUPTS_15_HANDLER             */</t>
  </si>
  <si>
    <t>/* 103:  SCB_1_INTERRUPT_HANDLER                 */</t>
  </si>
  <si>
    <t>/* 104:  SCB_2_INTERRUPT_HANDLER                 */</t>
  </si>
  <si>
    <t>/* 105:  SCB_3_INTERRUPT_HANDLER                 */</t>
  </si>
  <si>
    <t>/* 106:  SCB_4_INTERRUPT_HANDLER                 */</t>
  </si>
  <si>
    <t>/* 107:  SCB_5_INTERRUPT_HANDLER                 */</t>
  </si>
  <si>
    <t>/* 108:  SCB_6_INTERRUPT_HANDLER                 */</t>
  </si>
  <si>
    <t>/* 109:  SCB_7_INTERRUPT_HANDLER                 */</t>
  </si>
  <si>
    <t>/* 110:  SCB_8_INTERRUPT_HANDLER                 */</t>
  </si>
  <si>
    <t>/* 111:  SCB_9_INTERRUPT_HANDLER                 */</t>
  </si>
  <si>
    <t>/* 112:  SCB_10_INTERRUPT_HANDLER                */</t>
  </si>
  <si>
    <t>/* 113:  PASS_0_INTERRUPTS_SAR_0_HANDLER         */</t>
  </si>
  <si>
    <t>/* 114:  PASS_0_INTERRUPTS_SAR_1_HANDLER         */</t>
  </si>
  <si>
    <t>/* 115:  PASS_0_INTERRUPTS_SAR_2_HANDLER         */</t>
  </si>
  <si>
    <t>/* 116:  PASS_0_INTERRUPTS_SAR_3_HANDLER         */</t>
  </si>
  <si>
    <t>/* 117:  PASS_0_INTERRUPTS_SAR_4_HANDLER         */</t>
  </si>
  <si>
    <t>/* 118:  PASS_0_INTERRUPTS_SAR_5_HANDLER         */</t>
  </si>
  <si>
    <t>/* 119:  PASS_0_INTERRUPTS_SAR_6_HANDLER         */</t>
  </si>
  <si>
    <t>/* 120:  PASS_0_INTERRUPTS_SAR_7_HANDLER         */</t>
  </si>
  <si>
    <t>/* 121:  PASS_0_INTERRUPTS_SAR_8_HANDLER         */</t>
  </si>
  <si>
    <t>/* 122:  PASS_0_INTERRUPTS_SAR_9_HANDLER         */</t>
  </si>
  <si>
    <t>/* 123:  PASS_0_INTERRUPTS_SAR_10_HANDLER        */</t>
  </si>
  <si>
    <t>/* 124:  PASS_0_INTERRUPTS_SAR_11_HANDLER        */</t>
  </si>
  <si>
    <t>/* 125:  PASS_0_INTERRUPTS_SAR_12_HANDLER        */</t>
  </si>
  <si>
    <t>/* 126:  PASS_0_INTERRUPTS_SAR_13_HANDLER        */</t>
  </si>
  <si>
    <t>/* 127:  PASS_0_INTERRUPTS_SAR_14_HANDLER        */</t>
  </si>
  <si>
    <t>/* 128:  PASS_0_INTERRUPTS_SAR_15_HANDLER        */</t>
  </si>
  <si>
    <t>/* 129:  PASS_0_INTERRUPTS_SAR_16_HANDLER        */</t>
  </si>
  <si>
    <t>/* 130:  PASS_0_INTERRUPTS_SAR_17_HANDLER        */</t>
  </si>
  <si>
    <t>/* 131:  PASS_0_INTERRUPTS_SAR_18_HANDLER        */</t>
  </si>
  <si>
    <t>/* 132:  PASS_0_INTERRUPTS_SAR_19_HANDLER        */</t>
  </si>
  <si>
    <t>/* 133:  PASS_0_INTERRUPTS_SAR_20_HANDLER        */</t>
  </si>
  <si>
    <t>/* 134:  PASS_0_INTERRUPTS_SAR_21_HANDLER        */</t>
  </si>
  <si>
    <t>/* 135:  PASS_0_INTERRUPTS_SAR_22_HANDLER        */</t>
  </si>
  <si>
    <t>/* 136:  PASS_0_INTERRUPTS_SAR_23_HANDLER        */</t>
  </si>
  <si>
    <t>/* 137:  PASS_0_INTERRUPTS_SAR_24_HANDLER        */</t>
  </si>
  <si>
    <t>/* 138:  PASS_0_INTERRUPTS_SAR_25_HANDLER        */</t>
  </si>
  <si>
    <t>/* 139:  PASS_0_INTERRUPTS_SAR_26_HANDLER        */</t>
  </si>
  <si>
    <t>/* 140:  PASS_0_INTERRUPTS_SAR_27_HANDLER        */</t>
  </si>
  <si>
    <t>/* 141:  PASS_0_INTERRUPTS_SAR_28_HANDLER        */</t>
  </si>
  <si>
    <t>/* 142:  PASS_0_INTERRUPTS_SAR_29_HANDLER        */</t>
  </si>
  <si>
    <t>/* 143:  PASS_0_INTERRUPTS_SAR_30_HANDLER        */</t>
  </si>
  <si>
    <t>/* 144:  PASS_0_INTERRUPTS_SAR_31_HANDLER        */</t>
  </si>
  <si>
    <t>/* 145:  PASS_0_INTERRUPTS_SAR_32_HANDLER        */</t>
  </si>
  <si>
    <t>/* 146:  PASS_0_INTERRUPTS_SAR_33_HANDLER        */</t>
  </si>
  <si>
    <t>/* 147:  PASS_0_INTERRUPTS_SAR_34_HANDLER        */</t>
  </si>
  <si>
    <t>/* 148:  PASS_0_INTERRUPTS_SAR_35_HANDLER        */</t>
  </si>
  <si>
    <t>/* 149:  PASS_0_INTERRUPTS_SAR_36_HANDLER        */</t>
  </si>
  <si>
    <t>/* 150:  PASS_0_INTERRUPTS_SAR_37_HANDLER        */</t>
  </si>
  <si>
    <t>/* 151:  PASS_0_INTERRUPTS_SAR_38_HANDLER        */</t>
  </si>
  <si>
    <t>/* 152:  PASS_0_INTERRUPTS_SAR_39_HANDLER        */</t>
  </si>
  <si>
    <t>/* 153:  PASS_0_INTERRUPTS_SAR_40_HANDLER        */</t>
  </si>
  <si>
    <t>/* 154:  PASS_0_INTERRUPTS_SAR_41_HANDLER        */</t>
  </si>
  <si>
    <t>/* 155:  PASS_0_INTERRUPTS_SAR_42_HANDLER        */</t>
  </si>
  <si>
    <t>/* 156:  PASS_0_INTERRUPTS_SAR_43_HANDLER        */</t>
  </si>
  <si>
    <t>/* 157:  PASS_0_INTERRUPTS_SAR_44_HANDLER        */</t>
  </si>
  <si>
    <t>/* 158:  PASS_0_INTERRUPTS_SAR_45_HANDLER        */</t>
  </si>
  <si>
    <t>/* 159:  PASS_0_INTERRUPTS_SAR_46_HANDLER        */</t>
  </si>
  <si>
    <t>/* 160:  PASS_0_INTERRUPTS_SAR_47_HANDLER        */</t>
  </si>
  <si>
    <t>/* 161:  PASS_0_INTERRUPTS_SAR_48_HANDLER        */</t>
  </si>
  <si>
    <t>/* 162:  PASS_0_INTERRUPTS_SAR_49_HANDLER        */</t>
  </si>
  <si>
    <t>/* 163:  PASS_0_INTERRUPTS_SAR_50_HANDLER        */</t>
  </si>
  <si>
    <t>/* 164:  PASS_0_INTERRUPTS_SAR_51_HANDLER        */</t>
  </si>
  <si>
    <t>/* 165:  PASS_0_INTERRUPTS_SAR_52_HANDLER        */</t>
  </si>
  <si>
    <t>/* 166:  PASS_0_INTERRUPTS_SAR_53_HANDLER        */</t>
  </si>
  <si>
    <t>/* 167:  PASS_0_INTERRUPTS_SAR_54_HANDLER        */</t>
  </si>
  <si>
    <t>/* 168:  PASS_0_INTERRUPTS_SAR_55_HANDLER        */</t>
  </si>
  <si>
    <t>/* 169:  PASS_0_INTERRUPTS_SAR_56_HANDLER        */</t>
  </si>
  <si>
    <t>/* 170:  PASS_0_INTERRUPTS_SAR_57_HANDLER        */</t>
  </si>
  <si>
    <t>/* 171:  PASS_0_INTERRUPTS_SAR_58_HANDLER        */</t>
  </si>
  <si>
    <t>/* 172:  PASS_0_INTERRUPTS_SAR_59_HANDLER        */</t>
  </si>
  <si>
    <t>/* 173:  PASS_0_INTERRUPTS_SAR_60_HANDLER        */</t>
  </si>
  <si>
    <t>/* 174:  PASS_0_INTERRUPTS_SAR_61_HANDLER        */</t>
  </si>
  <si>
    <t>/* 175:  PASS_0_INTERRUPTS_SAR_62_HANDLER        */</t>
  </si>
  <si>
    <t>/* 176:  PASS_0_INTERRUPTS_SAR_63_HANDLER        */</t>
  </si>
  <si>
    <t>/* 177:  PASS_0_INTERRUPTS_SAR_64_HANDLER        */</t>
  </si>
  <si>
    <t>/* 178:  PASS_0_INTERRUPTS_SAR_65_HANDLER        */</t>
  </si>
  <si>
    <t>/* 179:  PASS_0_INTERRUPTS_SAR_66_HANDLER        */</t>
  </si>
  <si>
    <t>/* 180:  PASS_0_INTERRUPTS_SAR_67_HANDLER        */</t>
  </si>
  <si>
    <t>/* 181:  PASS_0_INTERRUPTS_SAR_68_HANDLER        */</t>
  </si>
  <si>
    <t>/* 182:  PASS_0_INTERRUPTS_SAR_69_HANDLER        */</t>
  </si>
  <si>
    <t>/* 183:  PASS_0_INTERRUPTS_SAR_70_HANDLER        */</t>
  </si>
  <si>
    <t>/* 184:  PASS_0_INTERRUPTS_SAR_71_HANDLER        */</t>
  </si>
  <si>
    <t>/* 185:  CPUSS_INTERRUPTS_DMAC_0_HANDLER         */</t>
  </si>
  <si>
    <t>/* 186:  CPUSS_INTERRUPTS_DMAC_1_HANDLER         */</t>
  </si>
  <si>
    <t>/* 187:  CPUSS_INTERRUPTS_DMAC_2_HANDLER         */</t>
  </si>
  <si>
    <t>/* 188:  CPUSS_INTERRUPTS_DMAC_3_HANDLER         */</t>
  </si>
  <si>
    <t>/* 189:  CPUSS_INTERRUPTS_DMAC_4_HANDLER         */</t>
  </si>
  <si>
    <t>/* 190:  CPUSS_INTERRUPTS_DMAC_5_HANDLER         */</t>
  </si>
  <si>
    <t>/* 191:  CPUSS_INTERRUPTS_DMAC_6_HANDLER         */</t>
  </si>
  <si>
    <t>/* 192:  CPUSS_INTERRUPTS_DMAC_7_HANDLER         */</t>
  </si>
  <si>
    <t>/* 193:  CPUSS_INTERRUPTS_DW0_0_HANDLER          */</t>
  </si>
  <si>
    <t>/* 194:  CPUSS_INTERRUPTS_DW0_1_HANDLER          */</t>
  </si>
  <si>
    <t>/* 195:  CPUSS_INTERRUPTS_DW0_2_HANDLER          */</t>
  </si>
  <si>
    <t>/* 196:  CPUSS_INTERRUPTS_DW0_3_HANDLER          */</t>
  </si>
  <si>
    <t>/* 197:  CPUSS_INTERRUPTS_DW0_4_HANDLER          */</t>
  </si>
  <si>
    <t>/* 198:  CPUSS_INTERRUPTS_DW0_5_HANDLER          */</t>
  </si>
  <si>
    <t>/* 199:  CPUSS_INTERRUPTS_DW0_6_HANDLER          */</t>
  </si>
  <si>
    <t>/* 200:  CPUSS_INTERRUPTS_DW0_7_HANDLER          */</t>
  </si>
  <si>
    <t>/* 201:  CPUSS_INTERRUPTS_DW0_8_HANDLER          */</t>
  </si>
  <si>
    <t>/* 202:  CPUSS_INTERRUPTS_DW0_9_HANDLER          */</t>
  </si>
  <si>
    <t>/* 203:  CPUSS_INTERRUPTS_DW0_10_HANDLER         */</t>
  </si>
  <si>
    <t>/* 204:  CPUSS_INTERRUPTS_DW0_11_HANDLER         */</t>
  </si>
  <si>
    <t>/* 205:  CPUSS_INTERRUPTS_DW0_12_HANDLER         */</t>
  </si>
  <si>
    <t>/* 206:  CPUSS_INTERRUPTS_DW0_13_HANDLER         */</t>
  </si>
  <si>
    <t>/* 207:  CPUSS_INTERRUPTS_DW0_14_HANDLER         */</t>
  </si>
  <si>
    <t>/* 208:  CPUSS_INTERRUPTS_DW0_15_HANDLER         */</t>
  </si>
  <si>
    <t>/* 209:  CPUSS_INTERRUPTS_DW0_16_HANDLER         */</t>
  </si>
  <si>
    <t>/* 210:  CPUSS_INTERRUPTS_DW0_17_HANDLER         */</t>
  </si>
  <si>
    <t>/* 211:  CPUSS_INTERRUPTS_DW0_18_HANDLER         */</t>
  </si>
  <si>
    <t>/* 212:  CPUSS_INTERRUPTS_DW0_19_HANDLER         */</t>
  </si>
  <si>
    <t>/* 213:  CPUSS_INTERRUPTS_DW0_20_HANDLER         */</t>
  </si>
  <si>
    <t>/* 214:  CPUSS_INTERRUPTS_DW0_21_HANDLER         */</t>
  </si>
  <si>
    <t>/* 215:  CPUSS_INTERRUPTS_DW0_22_HANDLER         */</t>
  </si>
  <si>
    <t>/* 216:  CPUSS_INTERRUPTS_DW0_23_HANDLER         */</t>
  </si>
  <si>
    <t>/* 217:  CPUSS_INTERRUPTS_DW0_24_HANDLER         */</t>
  </si>
  <si>
    <t>/* 218:  CPUSS_INTERRUPTS_DW0_25_HANDLER         */</t>
  </si>
  <si>
    <t>/* 219:  CPUSS_INTERRUPTS_DW0_26_HANDLER         */</t>
  </si>
  <si>
    <t>/* 220:  CPUSS_INTERRUPTS_DW0_27_HANDLER         */</t>
  </si>
  <si>
    <t>/* 221:  CPUSS_INTERRUPTS_DW0_28_HANDLER         */</t>
  </si>
  <si>
    <t>/* 222:  CPUSS_INTERRUPTS_DW0_29_HANDLER         */</t>
  </si>
  <si>
    <t>/* 223:  CPUSS_INTERRUPTS_DW0_30_HANDLER         */</t>
  </si>
  <si>
    <t>/* 224:  CPUSS_INTERRUPTS_DW0_31_HANDLER         */</t>
  </si>
  <si>
    <t>/* 225:  CPUSS_INTERRUPTS_DW0_32_HANDLER         */</t>
  </si>
  <si>
    <t>/* 226:  CPUSS_INTERRUPTS_DW0_33_HANDLER         */</t>
  </si>
  <si>
    <t>/* 227:  CPUSS_INTERRUPTS_DW0_34_HANDLER         */</t>
  </si>
  <si>
    <t>/* 228:  CPUSS_INTERRUPTS_DW0_35_HANDLER         */</t>
  </si>
  <si>
    <t>/* 229:  CPUSS_INTERRUPTS_DW0_36_HANDLER         */</t>
  </si>
  <si>
    <t>/* 230:  CPUSS_INTERRUPTS_DW0_37_HANDLER         */</t>
  </si>
  <si>
    <t>/* 231:  CPUSS_INTERRUPTS_DW0_38_HANDLER         */</t>
  </si>
  <si>
    <t>/* 232:  CPUSS_INTERRUPTS_DW0_39_HANDLER         */</t>
  </si>
  <si>
    <t>/* 233:  CPUSS_INTERRUPTS_DW0_40_HANDLER         */</t>
  </si>
  <si>
    <t>/* 234:  CPUSS_INTERRUPTS_DW0_41_HANDLER         */</t>
  </si>
  <si>
    <t>/* 235:  CPUSS_INTERRUPTS_DW0_42_HANDLER         */</t>
  </si>
  <si>
    <t>/* 236:  CPUSS_INTERRUPTS_DW0_43_HANDLER         */</t>
  </si>
  <si>
    <t>/* 237:  CPUSS_INTERRUPTS_DW0_44_HANDLER         */</t>
  </si>
  <si>
    <t>/* 238:  CPUSS_INTERRUPTS_DW0_45_HANDLER         */</t>
  </si>
  <si>
    <t>/* 239:  CPUSS_INTERRUPTS_DW0_46_HANDLER         */</t>
  </si>
  <si>
    <t>/* 240:  CPUSS_INTERRUPTS_DW0_47_HANDLER         */</t>
  </si>
  <si>
    <t>/* 241:  CPUSS_INTERRUPTS_DW0_48_HANDLER         */</t>
  </si>
  <si>
    <t>/* 242:  CPUSS_INTERRUPTS_DW0_49_HANDLER         */</t>
  </si>
  <si>
    <t>/* 243:  CPUSS_INTERRUPTS_DW0_50_HANDLER         */</t>
  </si>
  <si>
    <t>/* 244:  CPUSS_INTERRUPTS_DW0_51_HANDLER         */</t>
  </si>
  <si>
    <t>/* 245:  CPUSS_INTERRUPTS_DW0_52_HANDLER         */</t>
  </si>
  <si>
    <t>/* 246:  CPUSS_INTERRUPTS_DW0_53_HANDLER         */</t>
  </si>
  <si>
    <t>/* 247:  CPUSS_INTERRUPTS_DW0_54_HANDLER         */</t>
  </si>
  <si>
    <t>/* 248:  CPUSS_INTERRUPTS_DW0_55_HANDLER         */</t>
  </si>
  <si>
    <t>/* 249:  CPUSS_INTERRUPTS_DW0_56_HANDLER         */</t>
  </si>
  <si>
    <t>/* 250:  CPUSS_INTERRUPTS_DW0_57_HANDLER         */</t>
  </si>
  <si>
    <t>/* 251:  CPUSS_INTERRUPTS_DW0_58_HANDLER         */</t>
  </si>
  <si>
    <t>/* 252:  CPUSS_INTERRUPTS_DW0_59_HANDLER         */</t>
  </si>
  <si>
    <t>/* 253:  CPUSS_INTERRUPTS_DW0_60_HANDLER         */</t>
  </si>
  <si>
    <t>/* 254:  CPUSS_INTERRUPTS_DW0_61_HANDLER         */</t>
  </si>
  <si>
    <t>/* 255:  CPUSS_INTERRUPTS_DW0_62_HANDLER         */</t>
  </si>
  <si>
    <t>/* 256:  CPUSS_INTERRUPTS_DW0_63_HANDLER         */</t>
  </si>
  <si>
    <t>/* 257:  CPUSS_INTERRUPTS_DW0_64_HANDLER         */</t>
  </si>
  <si>
    <t>/* 258:  CPUSS_INTERRUPTS_DW0_65_HANDLER         */</t>
  </si>
  <si>
    <t>/* 259:  CPUSS_INTERRUPTS_DW0_66_HANDLER         */</t>
  </si>
  <si>
    <t>/* 260:  CPUSS_INTERRUPTS_DW0_67_HANDLER         */</t>
  </si>
  <si>
    <t>/* 261:  CPUSS_INTERRUPTS_DW0_68_HANDLER         */</t>
  </si>
  <si>
    <t>/* 262:  CPUSS_INTERRUPTS_DW0_69_HANDLER         */</t>
  </si>
  <si>
    <t>/* 263:  CPUSS_INTERRUPTS_DW0_70_HANDLER         */</t>
  </si>
  <si>
    <t>/* 264:  CPUSS_INTERRUPTS_DW0_71_HANDLER         */</t>
  </si>
  <si>
    <t>/* 265:  CPUSS_INTERRUPTS_DW0_72_HANDLER         */</t>
  </si>
  <si>
    <t>/* 266:  CPUSS_INTERRUPTS_DW0_73_HANDLER         */</t>
  </si>
  <si>
    <t>/* 267:  CPUSS_INTERRUPTS_DW0_74_HANDLER         */</t>
  </si>
  <si>
    <t>/* 268:  CPUSS_INTERRUPTS_DW0_75_HANDLER         */</t>
  </si>
  <si>
    <t>/* 269:  CPUSS_INTERRUPTS_DW0_76_HANDLER         */</t>
  </si>
  <si>
    <t>/* 270:  CPUSS_INTERRUPTS_DW0_77_HANDLER         */</t>
  </si>
  <si>
    <t>/* 271:  CPUSS_INTERRUPTS_DW0_78_HANDLER         */</t>
  </si>
  <si>
    <t>/* 272:  CPUSS_INTERRUPTS_DW0_79_HANDLER         */</t>
  </si>
  <si>
    <t>/* 273:  CPUSS_INTERRUPTS_DW0_80_HANDLER         */</t>
  </si>
  <si>
    <t>/* 274:  CPUSS_INTERRUPTS_DW0_81_HANDLER         */</t>
  </si>
  <si>
    <t>/* 275:  CPUSS_INTERRUPTS_DW0_82_HANDLER         */</t>
  </si>
  <si>
    <t>/* 276:  CPUSS_INTERRUPTS_DW0_83_HANDLER         */</t>
  </si>
  <si>
    <t>/* 277:  CPUSS_INTERRUPTS_DW0_84_HANDLER         */</t>
  </si>
  <si>
    <t>/* 278:  CPUSS_INTERRUPTS_DW0_85_HANDLER         */</t>
  </si>
  <si>
    <t>/* 279:  CPUSS_INTERRUPTS_DW0_86_HANDLER         */</t>
  </si>
  <si>
    <t>/* 280:  CPUSS_INTERRUPTS_DW0_87_HANDLER         */</t>
  </si>
  <si>
    <t>/* 281:  CPUSS_INTERRUPTS_DW0_88_HANDLER         */</t>
  </si>
  <si>
    <t>/* 282:  CPUSS_INTERRUPTS_DW0_89_HANDLER         */</t>
  </si>
  <si>
    <t>/* 283:  CPUSS_INTERRUPTS_DW0_90_HANDLER         */</t>
  </si>
  <si>
    <t>/* 284:  CPUSS_INTERRUPTS_DW0_91_HANDLER         */</t>
  </si>
  <si>
    <t>/* 285:  CPUSS_INTERRUPTS_DW0_92_HANDLER         */</t>
  </si>
  <si>
    <t>/* 286:  CPUSS_INTERRUPTS_DW0_93_HANDLER         */</t>
  </si>
  <si>
    <t>/* 287:  CPUSS_INTERRUPTS_DW0_94_HANDLER         */</t>
  </si>
  <si>
    <t>/* 288:  CPUSS_INTERRUPTS_DW0_95_HANDLER         */</t>
  </si>
  <si>
    <t>/* 289:  CPUSS_INTERRUPTS_DW0_96_HANDLER         */</t>
  </si>
  <si>
    <t>/* 290:  CPUSS_INTERRUPTS_DW0_97_HANDLER         */</t>
  </si>
  <si>
    <t>/* 291:  CPUSS_INTERRUPTS_DW0_98_HANDLER         */</t>
  </si>
  <si>
    <t>/* 292:  CPUSS_INTERRUPTS_DW0_99_HANDLER         */</t>
  </si>
  <si>
    <t>/* 293:  CPUSS_INTERRUPTS_DW1_0_HANDLER          */</t>
  </si>
  <si>
    <t>/* 294:  CPUSS_INTERRUPTS_DW1_1_HANDLER          */</t>
  </si>
  <si>
    <t>/* 295:  CPUSS_INTERRUPTS_DW1_2_HANDLER          */</t>
  </si>
  <si>
    <t>/* 296:  CPUSS_INTERRUPTS_DW1_3_HANDLER          */</t>
  </si>
  <si>
    <t>/* 297:  CPUSS_INTERRUPTS_DW1_4_HANDLER          */</t>
  </si>
  <si>
    <t>/* 298:  CPUSS_INTERRUPTS_DW1_5_HANDLER          */</t>
  </si>
  <si>
    <t>/* 299:  CPUSS_INTERRUPTS_DW1_6_HANDLER          */</t>
  </si>
  <si>
    <t>/* 300:  CPUSS_INTERRUPTS_DW1_7_HANDLER          */</t>
  </si>
  <si>
    <t>/* 301:  CPUSS_INTERRUPTS_DW1_8_HANDLER          */</t>
  </si>
  <si>
    <t>/* 302:  CPUSS_INTERRUPTS_DW1_9_HANDLER          */</t>
  </si>
  <si>
    <t>/* 303:  CPUSS_INTERRUPTS_DW1_10_HANDLER         */</t>
  </si>
  <si>
    <t>/* 304:  CPUSS_INTERRUPTS_DW1_11_HANDLER         */</t>
  </si>
  <si>
    <t>/* 305:  CPUSS_INTERRUPTS_DW1_12_HANDLER         */</t>
  </si>
  <si>
    <t>/* 306:  CPUSS_INTERRUPTS_DW1_13_HANDLER         */</t>
  </si>
  <si>
    <t>/* 307:  CPUSS_INTERRUPTS_DW1_14_HANDLER         */</t>
  </si>
  <si>
    <t>/* 308:  CPUSS_INTERRUPTS_DW1_15_HANDLER         */</t>
  </si>
  <si>
    <t>/* 309:  CPUSS_INTERRUPTS_DW1_16_HANDLER         */</t>
  </si>
  <si>
    <t>/* 310:  CPUSS_INTERRUPTS_DW1_17_HANDLER         */</t>
  </si>
  <si>
    <t>/* 311:  CPUSS_INTERRUPTS_DW1_18_HANDLER         */</t>
  </si>
  <si>
    <t>/* 312:  CPUSS_INTERRUPTS_DW1_19_HANDLER         */</t>
  </si>
  <si>
    <t>/* 313:  CPUSS_INTERRUPTS_DW1_20_HANDLER         */</t>
  </si>
  <si>
    <t>/* 314:  CPUSS_INTERRUPTS_DW1_21_HANDLER         */</t>
  </si>
  <si>
    <t>/* 315:  CPUSS_INTERRUPTS_DW1_22_HANDLER         */</t>
  </si>
  <si>
    <t>/* 316:  CPUSS_INTERRUPTS_DW1_23_HANDLER         */</t>
  </si>
  <si>
    <t>/* 317:  CPUSS_INTERRUPTS_DW1_24_HANDLER         */</t>
  </si>
  <si>
    <t>/* 318:  CPUSS_INTERRUPTS_DW1_25_HANDLER         */</t>
  </si>
  <si>
    <t>/* 319:  CPUSS_INTERRUPTS_DW1_26_HANDLER         */</t>
  </si>
  <si>
    <t>/* 320:  CPUSS_INTERRUPTS_DW1_27_HANDLER         */</t>
  </si>
  <si>
    <t>/* 321:  CPUSS_INTERRUPTS_DW1_28_HANDLER         */</t>
  </si>
  <si>
    <t>/* 322:  CPUSS_INTERRUPTS_DW1_29_HANDLER         */</t>
  </si>
  <si>
    <t>/* 323:  CPUSS_INTERRUPTS_DW1_30_HANDLER         */</t>
  </si>
  <si>
    <t>/* 324:  CPUSS_INTERRUPTS_DW1_31_HANDLER         */</t>
  </si>
  <si>
    <t>/* 325:  CPUSS_INTERRUPTS_DW1_32_HANDLER         */</t>
  </si>
  <si>
    <t>/* 326:  CPUSS_INTERRUPTS_DW1_33_HANDLER         */</t>
  </si>
  <si>
    <t>/* 327:  CPUSS_INTERRUPTS_DW1_34_HANDLER         */</t>
  </si>
  <si>
    <t>/* 328:  CPUSS_INTERRUPTS_DW1_35_HANDLER         */</t>
  </si>
  <si>
    <t>/* 329:  CPUSS_INTERRUPTS_DW1_36_HANDLER         */</t>
  </si>
  <si>
    <t>/* 330:  CPUSS_INTERRUPTS_DW1_37_HANDLER         */</t>
  </si>
  <si>
    <t>/* 331:  CPUSS_INTERRUPTS_DW1_38_HANDLER         */</t>
  </si>
  <si>
    <t>/* 332:  CPUSS_INTERRUPTS_DW1_39_HANDLER         */</t>
  </si>
  <si>
    <t>/* 333:  CPUSS_INTERRUPTS_DW1_40_HANDLER         */</t>
  </si>
  <si>
    <t>/* 334:  CPUSS_INTERRUPTS_DW1_41_HANDLER         */</t>
  </si>
  <si>
    <t>/* 335:  CPUSS_INTERRUPTS_DW1_42_HANDLER         */</t>
  </si>
  <si>
    <t>/* 336:  CPUSS_INTERRUPTS_DW1_43_HANDLER         */</t>
  </si>
  <si>
    <t>/* 337:  CPUSS_INTERRUPTS_DW1_44_HANDLER         */</t>
  </si>
  <si>
    <t>/* 338:  CPUSS_INTERRUPTS_DW1_45_HANDLER         */</t>
  </si>
  <si>
    <t>/* 339:  CPUSS_INTERRUPTS_DW1_46_HANDLER         */</t>
  </si>
  <si>
    <t>/* 340:  CPUSS_INTERRUPTS_DW1_47_HANDLER         */</t>
  </si>
  <si>
    <t>/* 341:  CPUSS_INTERRUPTS_DW1_48_HANDLER         */</t>
  </si>
  <si>
    <t>/* 342:  CPUSS_INTERRUPTS_DW1_49_HANDLER         */</t>
  </si>
  <si>
    <t>/* 343:  CPUSS_INTERRUPTS_DW1_50_HANDLER         */</t>
  </si>
  <si>
    <t>/* 344:  CPUSS_INTERRUPTS_DW1_51_HANDLER         */</t>
  </si>
  <si>
    <t>/* 345:  CPUSS_INTERRUPTS_DW1_52_HANDLER         */</t>
  </si>
  <si>
    <t>/* 346:  CPUSS_INTERRUPTS_DW1_53_HANDLER         */</t>
  </si>
  <si>
    <t>/* 347:  CPUSS_INTERRUPTS_DW1_54_HANDLER         */</t>
  </si>
  <si>
    <t>/* 348:  CPUSS_INTERRUPTS_DW1_55_HANDLER         */</t>
  </si>
  <si>
    <t>/* 349:  CPUSS_INTERRUPTS_DW1_56_HANDLER         */</t>
  </si>
  <si>
    <t>/* 350:  CPUSS_INTERRUPTS_DW1_57_HANDLER         */</t>
  </si>
  <si>
    <t>/* 351:  TCPWM_0_INTERRUPTS_0_HANDLER            */</t>
  </si>
  <si>
    <t>/* 352:  TCPWM_0_INTERRUPTS_1_HANDLER            */</t>
  </si>
  <si>
    <t>/* 353:  TCPWM_0_INTERRUPTS_2_HANDLER            */</t>
  </si>
  <si>
    <t>/* 354:  TCPWM_0_INTERRUPTS_3_HANDLER            */</t>
  </si>
  <si>
    <t>/* 355:  TCPWM_0_INTERRUPTS_4_HANDLER            */</t>
  </si>
  <si>
    <t>/* 356:  TCPWM_0_INTERRUPTS_5_HANDLER            */</t>
  </si>
  <si>
    <t>/* 357:  TCPWM_0_INTERRUPTS_6_HANDLER            */</t>
  </si>
  <si>
    <t>/* 358:  TCPWM_0_INTERRUPTS_7_HANDLER            */</t>
  </si>
  <si>
    <t>/* 359:  TCPWM_0_INTERRUPTS_8_HANDLER            */</t>
  </si>
  <si>
    <t>/* 360:  TCPWM_0_INTERRUPTS_9_HANDLER            */</t>
  </si>
  <si>
    <t>/* 361:  TCPWM_0_INTERRUPTS_10_HANDLER           */</t>
  </si>
  <si>
    <t>/* 362:  TCPWM_0_INTERRUPTS_11_HANDLER           */</t>
  </si>
  <si>
    <t>/* 363:  TCPWM_0_INTERRUPTS_12_HANDLER           */</t>
  </si>
  <si>
    <t>/* 364:  TCPWM_0_INTERRUPTS_13_HANDLER           */</t>
  </si>
  <si>
    <t>/* 365:  TCPWM_0_INTERRUPTS_14_HANDLER           */</t>
  </si>
  <si>
    <t>/* 366:  TCPWM_0_INTERRUPTS_15_HANDLER           */</t>
  </si>
  <si>
    <t>/* 367:  TCPWM_0_INTERRUPTS_16_HANDLER           */</t>
  </si>
  <si>
    <t>/* 368:  TCPWM_0_INTERRUPTS_17_HANDLER           */</t>
  </si>
  <si>
    <t>/* 369:  TCPWM_0_INTERRUPTS_18_HANDLER           */</t>
  </si>
  <si>
    <t>/* 370:  TCPWM_0_INTERRUPTS_19_HANDLER           */</t>
  </si>
  <si>
    <t>/* 371:  TCPWM_0_INTERRUPTS_20_HANDLER           */</t>
  </si>
  <si>
    <t>/* 372:  TCPWM_0_INTERRUPTS_21_HANDLER           */</t>
  </si>
  <si>
    <t>/* 373:  TCPWM_0_INTERRUPTS_22_HANDLER           */</t>
  </si>
  <si>
    <t>/* 374:  TCPWM_0_INTERRUPTS_23_HANDLER           */</t>
  </si>
  <si>
    <t>/* 375:  TCPWM_0_INTERRUPTS_24_HANDLER           */</t>
  </si>
  <si>
    <t>/* 376:  TCPWM_0_INTERRUPTS_25_HANDLER           */</t>
  </si>
  <si>
    <t>/* 377:  TCPWM_0_INTERRUPTS_26_HANDLER           */</t>
  </si>
  <si>
    <t>/* 378:  TCPWM_0_INTERRUPTS_27_HANDLER           */</t>
  </si>
  <si>
    <t>/* 379:  TCPWM_0_INTERRUPTS_28_HANDLER           */</t>
  </si>
  <si>
    <t>/* 380:  TCPWM_0_INTERRUPTS_29_HANDLER           */</t>
  </si>
  <si>
    <t>/* 381:  TCPWM_0_INTERRUPTS_30_HANDLER           */</t>
  </si>
  <si>
    <t>/* 382:  TCPWM_0_INTERRUPTS_31_HANDLER           */</t>
  </si>
  <si>
    <t>/* 383:  TCPWM_0_INTERRUPTS_32_HANDLER           */</t>
  </si>
  <si>
    <t>/* 384:  TCPWM_0_INTERRUPTS_33_HANDLER           */</t>
  </si>
  <si>
    <t>/* 385:  TCPWM_0_INTERRUPTS_34_HANDLER           */</t>
  </si>
  <si>
    <t>/* 386:  TCPWM_0_INTERRUPTS_35_HANDLER           */</t>
  </si>
  <si>
    <t>/* 387:  TCPWM_0_INTERRUPTS_36_HANDLER           */</t>
  </si>
  <si>
    <t>/* 388:  TCPWM_0_INTERRUPTS_37_HANDLER           */</t>
  </si>
  <si>
    <t>/* 389:  TCPWM_0_INTERRUPTS_38_HANDLER           */</t>
  </si>
  <si>
    <t>/* 390:  TCPWM_0_INTERRUPTS_39_HANDLER           */</t>
  </si>
  <si>
    <t>/* 391:  TCPWM_0_INTERRUPTS_40_HANDLER           */</t>
  </si>
  <si>
    <t>/* 392:  TCPWM_0_INTERRUPTS_41_HANDLER           */</t>
  </si>
  <si>
    <t>/* 393:  TCPWM_0_INTERRUPTS_42_HANDLER           */</t>
  </si>
  <si>
    <t>/* 394:  TCPWM_0_INTERRUPTS_43_HANDLER           */</t>
  </si>
  <si>
    <t>/* 395:  TCPWM_0_INTERRUPTS_44_HANDLER           */</t>
  </si>
  <si>
    <t>/* 396:  TCPWM_0_INTERRUPTS_45_HANDLER           */</t>
  </si>
  <si>
    <t>/* 397:  TCPWM_0_INTERRUPTS_46_HANDLER           */</t>
  </si>
  <si>
    <t>/* 398:  TCPWM_0_INTERRUPTS_47_HANDLER           */</t>
  </si>
  <si>
    <t>/* 399:  TCPWM_0_INTERRUPTS_48_HANDLER           */</t>
  </si>
  <si>
    <t>/* 400:  TCPWM_0_INTERRUPTS_49_HANDLER           */</t>
  </si>
  <si>
    <t>/* 401:  TCPWM_0_INTERRUPTS_50_HANDLER           */</t>
  </si>
  <si>
    <t>/* 402:  TCPWM_0_INTERRUPTS_51_HANDLER           */</t>
  </si>
  <si>
    <t>/* 403:  TCPWM_0_INTERRUPTS_52_HANDLER           */</t>
  </si>
  <si>
    <t>/* 404:  TCPWM_0_INTERRUPTS_53_HANDLER           */</t>
  </si>
  <si>
    <t>/* 405:  TCPWM_0_INTERRUPTS_54_HANDLER           */</t>
  </si>
  <si>
    <t>/* 406:  TCPWM_0_INTERRUPTS_55_HANDLER           */</t>
  </si>
  <si>
    <t>/* 407:  TCPWM_0_INTERRUPTS_56_HANDLER           */</t>
  </si>
  <si>
    <t>/* 408:  TCPWM_0_INTERRUPTS_57_HANDLER           */</t>
  </si>
  <si>
    <t>/* 409:  TCPWM_0_INTERRUPTS_58_HANDLER           */</t>
  </si>
  <si>
    <t>/* 410:  TCPWM_0_INTERRUPTS_59_HANDLER           */</t>
  </si>
  <si>
    <t>/* 411:  TCPWM_0_INTERRUPTS_60_HANDLER           */</t>
  </si>
  <si>
    <t>/* 412:  TCPWM_0_INTERRUPTS_61_HANDLER           */</t>
  </si>
  <si>
    <t>/* 413:  TCPWM_0_INTERRUPTS_62_HANDLER           */</t>
  </si>
  <si>
    <t>/* 414:  TCPWM_0_INTERRUPTS_256_HANDLER          */</t>
  </si>
  <si>
    <t>/* 415:  TCPWM_0_INTERRUPTS_257_HANDLER          */</t>
  </si>
  <si>
    <t>/* 416:  TCPWM_0_INTERRUPTS_258_HANDLER          */</t>
  </si>
  <si>
    <t>/* 417:  TCPWM_0_INTERRUPTS_259_HANDLER          */</t>
  </si>
  <si>
    <t>/* 418:  TCPWM_0_INTERRUPTS_260_HANDLER          */</t>
  </si>
  <si>
    <t>/* 419:  TCPWM_0_INTERRUPTS_261_HANDLER          */</t>
  </si>
  <si>
    <t>/* 420:  TCPWM_0_INTERRUPTS_262_HANDLER          */</t>
  </si>
  <si>
    <t>/* 421:  TCPWM_0_INTERRUPTS_263_HANDLER          */</t>
  </si>
  <si>
    <t>/* 422:  TCPWM_0_INTERRUPTS_264_HANDLER          */</t>
  </si>
  <si>
    <t>/* 423:  TCPWM_0_INTERRUPTS_265_HANDLER          */</t>
  </si>
  <si>
    <t>/* 424:  TCPWM_0_INTERRUPTS_266_HANDLER          */</t>
  </si>
  <si>
    <t>/* 425:  TCPWM_0_INTERRUPTS_267_HANDLER          */</t>
  </si>
  <si>
    <t>/* 426:  TCPWM_0_INTERRUPTS_512_HANDLER          */</t>
  </si>
  <si>
    <t>/* 427:  TCPWM_0_INTERRUPTS_513_HANDLER          */</t>
  </si>
  <si>
    <t>/* 428:  TCPWM_0_INTERRUPTS_514_HANDLER          */</t>
  </si>
  <si>
    <t>/* 429:  TCPWM_0_INTERRUPTS_515_HANDLER          */</t>
  </si>
  <si>
    <t>/* 430:  TCPWM_0_INTERRUPTS_516_HANDLER          */</t>
  </si>
  <si>
    <t>/* 431:  TCPWM_0_INTERRUPTS_517_HANDLER          */</t>
  </si>
  <si>
    <t>/* 432:  TCPWM_0_INTERRUPTS_518_HANDLER          */</t>
  </si>
  <si>
    <t>/* 433:  TCPWM_0_INTERRUPTS_519_HANDLER          */</t>
  </si>
  <si>
    <t>/* 434:  SMIF_0_INTERRUPT_HANDLER                */</t>
  </si>
  <si>
    <t>/* 435:  ETH_0_INTERRUPT_ETH_0_HANDLER           */</t>
  </si>
  <si>
    <t>/* 436:  ETH_0_INTERRUPT_ETH_2_HANDLER           */</t>
  </si>
  <si>
    <t>/* 437:  ETH_0_INTERRUPT_ETH_1_HANDLER           */</t>
  </si>
  <si>
    <t>/* 438:  SDHC_0_INTERRUPT_GENERAL_HANDLER        */</t>
  </si>
  <si>
    <t>/* 439:  SDHC_0_INTERRUPT_WAKEUP_HANDLER         */</t>
  </si>
  <si>
    <t>/* 440:  AUDIOSS_0_INTERRUPT_I2S_HANDLER         */</t>
  </si>
  <si>
    <t>/* 441:  AUDIOSS_1_INTERRUPT_I2S_HANDLER         */</t>
  </si>
  <si>
    <t>/* 442:  AUDIOSS_2_INTERRUPT_I2S_HANDLER         */</t>
  </si>
  <si>
    <t>OsTask_BswCtrl_EventPeriodic</t>
  </si>
  <si>
    <t>osdOsTask_BswCtrl_EventPeriodic_TOP</t>
  </si>
  <si>
    <t>Rte_Ev_Cyclic2_OsTask_BswCtrl_EventPeriodic_0_10ms</t>
  </si>
  <si>
    <t>Rte_Al_TE2_OsTask_BswCtrl_EventPeriodic_0_10ms</t>
  </si>
  <si>
    <t>OsApplication_QM</t>
  </si>
  <si>
    <t>OsMpu_QMSystem</t>
  </si>
  <si>
    <t>osCallISRHooks_CAN0_ISR</t>
  </si>
  <si>
    <t>osCallISRHooks_GPT_ISR</t>
  </si>
  <si>
    <t>// 16 : DMA channel 0/16 transfer complet</t>
  </si>
  <si>
    <t>// 17 : DMA channel 1/17 transfer complet</t>
  </si>
  <si>
    <t>// 18 : DMA channel 2/18 transfer complet</t>
  </si>
  <si>
    <t>// 19 : DMA channel 3/19 transfer complet</t>
  </si>
  <si>
    <t>// 20 : DMA channel 4/20 transfer complet</t>
  </si>
  <si>
    <t>// 21 : DMA channel 5/21 transfer complet</t>
  </si>
  <si>
    <t>// 22 : DMA channel 6/22 transfer complet</t>
  </si>
  <si>
    <t>// 23 : DMA channel 7/23 transfer complet</t>
  </si>
  <si>
    <t>// 24 : DMA channel 8/24 transfer complet</t>
  </si>
  <si>
    <t>// 25 : DMA channel 9/25 transfer complet</t>
  </si>
  <si>
    <t>// 26 : DMA channel 10/26 transfer comple</t>
  </si>
  <si>
    <t>// 27 : DMA channel 11/27 transfer comple</t>
  </si>
  <si>
    <t>// 28 : DMA channel 12/28 transfer comple</t>
  </si>
  <si>
    <t>// 29 : DMA channel 13/29 transfer comple</t>
  </si>
  <si>
    <t>// 30 : DMA channel 14/30 transfer comple</t>
  </si>
  <si>
    <t>// 31 : DMA channel 15/31 transfer comple</t>
  </si>
  <si>
    <t>// 32 : DMA error interrupt channels 0-15</t>
  </si>
  <si>
    <t>// 33 : CTI_TRIGGER_OUT0</t>
  </si>
  <si>
    <t>// 34 : CTI_TRIGGER_OUT1</t>
  </si>
  <si>
    <t>// 35 : CorePlatform exception IRQ</t>
  </si>
  <si>
    <t>// 36 : LPUART1 TX interrupt and RX inter</t>
  </si>
  <si>
    <t>// 37 : LPUART2 TX interrupt and RX inter</t>
  </si>
  <si>
    <t>// 38 : LPUART3 TX interrupt and RX inter</t>
  </si>
  <si>
    <t>// 39 : LPUART4 TX interrupt and RX inter</t>
  </si>
  <si>
    <t>// 40 : LPUART5 TX interrupt and RX inter</t>
  </si>
  <si>
    <t>// 41 : LPUART6 TX interrupt and RX inter</t>
  </si>
  <si>
    <t>// 42 : LPUART7 TX interrupt and RX inter</t>
  </si>
  <si>
    <t>// 43 : LPUART8 TX interrupt and RX inter</t>
  </si>
  <si>
    <t>// 44 : LPUART9 TX interrupt and RX inter</t>
  </si>
  <si>
    <t>// 45 : LPUART10 TX interrupt and RX inte</t>
  </si>
  <si>
    <t>// 46 : LPUART11 TX interrupt and RX inte</t>
  </si>
  <si>
    <t>// 47 : LPUART12 TX interrupt and RX inte</t>
  </si>
  <si>
    <t>// 48 : LPI2C1 interrupt</t>
  </si>
  <si>
    <t>// 49 : LPI2C2 interrupt</t>
  </si>
  <si>
    <t>// 50 : LPI2C3 interrupt</t>
  </si>
  <si>
    <t>// 51 : LPI2C4 interrupt</t>
  </si>
  <si>
    <t>// 52 : LPI2C5 interrupt</t>
  </si>
  <si>
    <t>// 53 : LPI2C6 interrupt</t>
  </si>
  <si>
    <t>// 54 : LPSPI1 interrupt request line to </t>
  </si>
  <si>
    <t>// 55 : LPSPI2 interrupt request line to </t>
  </si>
  <si>
    <t>// 56 : LPSPI3 interrupt request line to </t>
  </si>
  <si>
    <t>// 57 : LPSPI4 interrupt request line to </t>
  </si>
  <si>
    <t>// 58 : LPSPI5 interrupt request line to </t>
  </si>
  <si>
    <t>// 59 : LPSPI6 interrupt request line to </t>
  </si>
  <si>
    <t>// 60 : CAN1 interrupt</t>
  </si>
  <si>
    <t>// 61 : CAN1 error interrupt</t>
  </si>
  <si>
    <t>// 62 : CAN2 interrupt</t>
  </si>
  <si>
    <t>// 63 : CAN2 error interrupt</t>
  </si>
  <si>
    <t>// 64 : CAN3 interrupt</t>
  </si>
  <si>
    <t>// 65 : CAN3 erro interrupt</t>
  </si>
  <si>
    <t>// 66 : FlexRAM address out of range Or a</t>
  </si>
  <si>
    <t>// 67 : Keypad nterrupt</t>
  </si>
  <si>
    <t>// 68 : Reserved interrupt</t>
  </si>
  <si>
    <t>// 69 : GPR interrupt</t>
  </si>
  <si>
    <t>// 70 : eLCDIF interrupt</t>
  </si>
  <si>
    <t>// 71 : LCDIFv2 interrupt</t>
  </si>
  <si>
    <t>// 72 : CSI interrupt</t>
  </si>
  <si>
    <t>// 73 : PXP interrupt</t>
  </si>
  <si>
    <t>// 74 : MIPI_CSI interrupt</t>
  </si>
  <si>
    <t>// 75 : MIPI_DSI interrupt</t>
  </si>
  <si>
    <t>// 76 : GPU2D interrupt</t>
  </si>
  <si>
    <t>// 77 : Combined interrupt indication for</t>
  </si>
  <si>
    <t>// 78 : Combined interrupt indication for</t>
  </si>
  <si>
    <t>// 79 : DAC interrupt</t>
  </si>
  <si>
    <t>// 80 : PUF interrupt</t>
  </si>
  <si>
    <t>// 81 : WDOG2 interrupt</t>
  </si>
  <si>
    <t>// 82 : SRTC Consolidated Interrupt. Non </t>
  </si>
  <si>
    <t>// 83 : SRTC Security Interrupt. TZ</t>
  </si>
  <si>
    <t>// 84 : ON-OFF button press shorter than </t>
  </si>
  <si>
    <t>// 85 : CAAM interrupt queue for JQ0</t>
  </si>
  <si>
    <t>// 86 : CAAM interrupt queue for JQ1</t>
  </si>
  <si>
    <t>// 87 : CAAM interrupt queue for JQ2</t>
  </si>
  <si>
    <t>// 88 : CAAM interrupt queue for JQ3</t>
  </si>
  <si>
    <t>// 89 : CAAM interrupt for recoverable er</t>
  </si>
  <si>
    <t>// 90 : CAAM interrupt for RTIC</t>
  </si>
  <si>
    <t>// 91 : CDOG interrupt</t>
  </si>
  <si>
    <t>// 92 : SAI1 interrupt</t>
  </si>
  <si>
    <t>// 93 : SAI1 interrupt</t>
  </si>
  <si>
    <t>// 94 : SAI3 interrupt</t>
  </si>
  <si>
    <t>// 95 : SAI3 interrupt</t>
  </si>
  <si>
    <t>// 96 : SAI4 interrupt</t>
  </si>
  <si>
    <t>// 97 : SAI4 interrupt</t>
  </si>
  <si>
    <t>// 98 : SPDIF interrupt</t>
  </si>
  <si>
    <t>// 99 : ANATOP interrupt</t>
  </si>
  <si>
    <t>// 100: ANATOP interrupt</t>
  </si>
  <si>
    <t>// 101: ANATOP interrupt</t>
  </si>
  <si>
    <t>// 102: ANATOP interrupt</t>
  </si>
  <si>
    <t>// 103: ANATOP interrupt</t>
  </si>
  <si>
    <t>// 104: ADC1 interrupt</t>
  </si>
  <si>
    <t>// 105: ADC2 interrupt</t>
  </si>
  <si>
    <t>// 106: USBPHY1 interrupt</t>
  </si>
  <si>
    <t>// 107: USBPHY2 interrupt</t>
  </si>
  <si>
    <t>// 108: RDC interrupt</t>
  </si>
  <si>
    <t>// 109: Combined interrupt indication for</t>
  </si>
  <si>
    <t>// 110: Reserved interrupt</t>
  </si>
  <si>
    <t>// 111: DCIC1 interrupt</t>
  </si>
  <si>
    <t>// 112: DCIC2 interrupt</t>
  </si>
  <si>
    <t>// 113: ASRC interrupt</t>
  </si>
  <si>
    <t>// 114: FlexRAM ECC fatal interrupt</t>
  </si>
  <si>
    <t>// 115: CM7_GPIO2</t>
  </si>
  <si>
    <t>// 116: Combined interrupt indication for</t>
  </si>
  <si>
    <t>// 117: Combined interrupt indication for</t>
  </si>
  <si>
    <t>// 118: Combined interrupt indication for</t>
  </si>
  <si>
    <t>// 119: Combined interrupt indication for</t>
  </si>
  <si>
    <t>// 120: Combined interrupt indication for</t>
  </si>
  <si>
    <t>// 121: Combined interrupt indication for</t>
  </si>
  <si>
    <t>// 122: Combined interrupt indication for</t>
  </si>
  <si>
    <t>// 123: Combined interrupt indication for</t>
  </si>
  <si>
    <t>// 124: Combined interrupt indication for</t>
  </si>
  <si>
    <t>// 125: Combined interrupt indication for</t>
  </si>
  <si>
    <t>// 126: FLEXIO1 interrupt</t>
  </si>
  <si>
    <t>// 127: FLEXIO2 interrupt</t>
  </si>
  <si>
    <t>// 128: WDOG1 interrupt</t>
  </si>
  <si>
    <t>// 129: RTWDOG3 interrupt</t>
  </si>
  <si>
    <t>// 130: EWM interrupt</t>
  </si>
  <si>
    <t>// 131: OCOTP read fuse error interrupt</t>
  </si>
  <si>
    <t>// 132: OCOTP read fuse done interrupt</t>
  </si>
  <si>
    <t>// 133: GPC interrupt</t>
  </si>
  <si>
    <t>// 134: MUA interrupt</t>
  </si>
  <si>
    <t>// 135: GPT1 interrupt</t>
  </si>
  <si>
    <t>// 136: GPT2 interrupt</t>
  </si>
  <si>
    <t>// 137: GPT3 interrupt</t>
  </si>
  <si>
    <t>// 138: GPT4 interrupt</t>
  </si>
  <si>
    <t>// 139: GPT5 interrupt</t>
  </si>
  <si>
    <t>// 140: GPT6 interrupt</t>
  </si>
  <si>
    <t>// 141: PWM1 capture 0</t>
  </si>
  <si>
    <t>// 142: PWM1 capture 1</t>
  </si>
  <si>
    <t>// 143: PWM1 capture 2</t>
  </si>
  <si>
    <t>// 144: PWM1 capture 3</t>
  </si>
  <si>
    <t>// 145: PWM1 fault or reload error interr</t>
  </si>
  <si>
    <t>// 146: FlexSPI1 interrupt</t>
  </si>
  <si>
    <t>// 147: FlexSPI2 interrupt</t>
  </si>
  <si>
    <t>// 148: SEMC interrupt</t>
  </si>
  <si>
    <t>// 149: USDHC1 interrupt</t>
  </si>
  <si>
    <t>// 150: USDHC2 interrupt</t>
  </si>
  <si>
    <t>// 151: USBO2 USB OTG2</t>
  </si>
  <si>
    <t>// 152: USBO2 USB OTG1</t>
  </si>
  <si>
    <t>// 153: ENET interrupt</t>
  </si>
  <si>
    <t>// 154: ENET_1588_Timer interrupt</t>
  </si>
  <si>
    <t>// 155: ENET 1G MAC0 transmit/receive don</t>
  </si>
  <si>
    <t>// 156: ENET 1G MAC0 transmit/receive don</t>
  </si>
  <si>
    <t>// 157: ENET 1G interrupt</t>
  </si>
  <si>
    <t>// 158: ENET_1G_1588_Timer interrupt</t>
  </si>
  <si>
    <t>// 159: XBAR1 interrupt</t>
  </si>
  <si>
    <t>// 160: XBAR1 interrupt</t>
  </si>
  <si>
    <t>// 161: ADCETC IRQ0 interrupt</t>
  </si>
  <si>
    <t>// 162: ADCETC IRQ1 interrupt</t>
  </si>
  <si>
    <t>// 163: ADCETC IRQ2 interrupt</t>
  </si>
  <si>
    <t>// 164: ADCETC IRQ3 interrupt</t>
  </si>
  <si>
    <t>// 165: ADCETC Error IRQ interrupt</t>
  </si>
  <si>
    <t>// 166: Reserved interrupt</t>
  </si>
  <si>
    <t>// 167: Reserved interrupt</t>
  </si>
  <si>
    <t>// 168: Reserved interrupt</t>
  </si>
  <si>
    <t>// 169: Reserved interrupt</t>
  </si>
  <si>
    <t>// 170: Reserved interrupt</t>
  </si>
  <si>
    <t>// 171: PIT1 interrupt</t>
  </si>
  <si>
    <t>// 172: PIT2 interrupt</t>
  </si>
  <si>
    <t>// 173: ACMP interrupt</t>
  </si>
  <si>
    <t>// 174: ACMP interrupt</t>
  </si>
  <si>
    <t>// 175: ACMP interrupt</t>
  </si>
  <si>
    <t>// 176: ACMP interrupt</t>
  </si>
  <si>
    <t>// 177: Reserved interrupt</t>
  </si>
  <si>
    <t>// 178: Reserved interrupt</t>
  </si>
  <si>
    <t>// 179: Reserved interrupt</t>
  </si>
  <si>
    <t>// 180: Reserved interrupt</t>
  </si>
  <si>
    <t>// 181: ENC1 interrupt</t>
  </si>
  <si>
    <t>// 182: ENC2 interrupt</t>
  </si>
  <si>
    <t>// 183: ENC3 interrupt</t>
  </si>
  <si>
    <t>// 184: ENC4 interrupt</t>
  </si>
  <si>
    <t>// 185: Reserved interrupt</t>
  </si>
  <si>
    <t>// 186: Reserved interrupt</t>
  </si>
  <si>
    <t>// 187: TMR1 interrupt</t>
  </si>
  <si>
    <t>// 188: TMR2 interrupt</t>
  </si>
  <si>
    <t>// 189: TMR3 interrupt</t>
  </si>
  <si>
    <t>// 190: TMR4 interrupt</t>
  </si>
  <si>
    <t>// 191: SEMA4 CP0 interrupt</t>
  </si>
  <si>
    <t>// 192: SEMA4 CP1 interrupt</t>
  </si>
  <si>
    <t>// 193: PWM2 capture 0</t>
  </si>
  <si>
    <t>// 194: PWM2 capture 1</t>
  </si>
  <si>
    <t>// 195: PWM2 capture 2</t>
  </si>
  <si>
    <t>// 196: PWM2 capture 3</t>
  </si>
  <si>
    <t>// 197: PWM2 fault or reload error interr</t>
  </si>
  <si>
    <t>// 198: PWM3 capture 0</t>
  </si>
  <si>
    <t>// 199: PWM3 capture 1</t>
  </si>
  <si>
    <t>// 200: PWM3 capture 2</t>
  </si>
  <si>
    <t>// 201: PWM3 capture 3</t>
  </si>
  <si>
    <t>// 202: PWM3 fault or reload error interr</t>
  </si>
  <si>
    <t>// 203: PWM4 capture 0</t>
  </si>
  <si>
    <t>// 204: PWM4 capture 1</t>
  </si>
  <si>
    <t>// 205: PWM4 capture 2</t>
  </si>
  <si>
    <t>// 206: PWM4 capture 3</t>
  </si>
  <si>
    <t>// 207: PWM4 fault or reload error interr</t>
  </si>
  <si>
    <t>// 208: Reserved interrupt</t>
  </si>
  <si>
    <t>// 209: Reserved interrupt</t>
  </si>
  <si>
    <t>// 210: Reserved interrupt</t>
  </si>
  <si>
    <t>// 211: Reserved interrupt</t>
  </si>
  <si>
    <t>// 212: Reserved interrupt</t>
  </si>
  <si>
    <t>// 213: Reserved interrupt</t>
  </si>
  <si>
    <t>// 214: Reserved interrupt</t>
  </si>
  <si>
    <t>// 215: Reserved interrupt</t>
  </si>
  <si>
    <t>// 216: HWVAD event interrupt</t>
  </si>
  <si>
    <t>// 217: HWVAD error interrupt</t>
  </si>
  <si>
    <t>// 218: PDM event interrupt</t>
  </si>
  <si>
    <t>// 219: PDM error interrupt</t>
  </si>
  <si>
    <t>// 220: EMVSIM1 interrupt</t>
  </si>
  <si>
    <t>// 221: EMVSIM2 interrupt</t>
  </si>
  <si>
    <t>// 222: MECC1 int</t>
  </si>
  <si>
    <t>// 223: MECC1 fatal int</t>
  </si>
  <si>
    <t>// 224: MECC2 int</t>
  </si>
  <si>
    <t>// 225: MECC2 fatal int</t>
  </si>
  <si>
    <t>// 226: XECC int</t>
  </si>
  <si>
    <t>// 227: XECC fatal int</t>
  </si>
  <si>
    <t>// 228: XECC int</t>
  </si>
  <si>
    <t>// 229: XECC fatal int</t>
  </si>
  <si>
    <t>// 230: XECC int</t>
  </si>
  <si>
    <t>// 231: XECC fatal int</t>
  </si>
  <si>
    <t>// 232: ENET_QOS interrupt</t>
  </si>
  <si>
    <t>// 233: ENET_QOS_PMT interrupt</t>
  </si>
  <si>
    <t>osISRWrap_GPT_ISR</t>
  </si>
  <si>
    <t>OsTask_NvmSpeedup</t>
  </si>
  <si>
    <t>osdOsTask_NvmSpeedup_TOP</t>
  </si>
  <si>
    <t>OsTask_Cdd_EventPeriodic_0</t>
  </si>
  <si>
    <t>osdOsTask_Cdd_EventPeriodic_0_TOP</t>
  </si>
  <si>
    <t>OsTask_Cdd_EventPeriodic_1</t>
  </si>
  <si>
    <t>osdOsTask_Cdd_EventPeriodic_1_TOP</t>
  </si>
  <si>
    <t>OsTask_SWCEventPeriodic_0</t>
  </si>
  <si>
    <t>osdOsTask_SWCEventPeriodic_0_TOP</t>
  </si>
  <si>
    <t>OsTask_SWCEventPeriodic_1</t>
  </si>
  <si>
    <t>osdOsTask_SWCEventPeriodic_1_TOP</t>
  </si>
  <si>
    <t>OsTask_SWCEventPeriodic_2</t>
  </si>
  <si>
    <t>osdOsTask_SWCEventPeriodic_2_TOP</t>
  </si>
  <si>
    <t>OsTask_SWCEventPeriodic_4</t>
  </si>
  <si>
    <t>osdOsTask_SWCEventPeriodic_4_TOP</t>
  </si>
  <si>
    <t>osTaskStackOsApplication19</t>
  </si>
  <si>
    <t>osTaskStackOsApplication20</t>
  </si>
  <si>
    <t>osTaskStackOsApplication21</t>
  </si>
  <si>
    <t>osTaskStackOsApplication22</t>
  </si>
  <si>
    <t>osTaskStackOsApplication23</t>
  </si>
  <si>
    <t>OsTask_SafeSWCEventPeriodic_0</t>
  </si>
  <si>
    <t>osdOsTask_SafeSWCEventPeriodic_0_TOP</t>
  </si>
  <si>
    <t>osTaskStackOsApplication24</t>
  </si>
  <si>
    <t>osTaskStackOsApplication25</t>
  </si>
  <si>
    <t>OsTask_SafeBsw_1</t>
  </si>
  <si>
    <t>osdOsTask_SafeBsw_1_TOP</t>
  </si>
  <si>
    <t>osTaskStackOsApplication26</t>
  </si>
  <si>
    <t>Rte_Al_TE_NvMExt_NvMExt_SpeedupRunnable</t>
  </si>
  <si>
    <t>Rte_Ev_Run_NvMExt_NvMExt_SpeedupRunnable</t>
  </si>
  <si>
    <t>Manual Events</t>
  </si>
  <si>
    <t>Important!!! Please manually copy the events listed in "ManualEvents" sheet to the end of this list, after importing.</t>
  </si>
  <si>
    <t>Os_Types_Lcfg.h generated from Davinci has unwanted macro generations which is not a valid input for this tool.</t>
  </si>
  <si>
    <t>The Alarm names are appeared twice in the file, initially as a #define macro and then as enum.</t>
  </si>
  <si>
    <t>#define macro shall be deleted before importing to this tool….</t>
  </si>
  <si>
    <t>Important for Traveo Based Programs:</t>
  </si>
  <si>
    <t>osISRWrap_LCDIFv2</t>
  </si>
  <si>
    <t>osISRWrap_PXP</t>
  </si>
  <si>
    <t>osISRWrap_CAN3_ISR</t>
  </si>
  <si>
    <t>OsTask_SWCEventPeriodic_3</t>
  </si>
  <si>
    <t>osdOsTask_SWCEventPeriodic_3_TOP</t>
  </si>
  <si>
    <t>osTaskStackOsApplication27</t>
  </si>
  <si>
    <t>Spi_LPspi_IsrTDF_LPSPI_0</t>
  </si>
  <si>
    <t>GPT_2_ISR</t>
  </si>
  <si>
    <t>MCL_DMA0_CH_COMPLETE_ISR</t>
  </si>
  <si>
    <t>I2c_LPi2c_Isr_LPI2C_6</t>
  </si>
  <si>
    <t>/* #248: SPI0 */</t>
  </si>
  <si>
    <t>/* #272: ADC0_ISR */</t>
  </si>
  <si>
    <t>/* #114: GPT_2 */</t>
  </si>
  <si>
    <t>/* #115: GPT_3 */</t>
  </si>
  <si>
    <t>/* #400: ADMA_SAI0 */</t>
  </si>
  <si>
    <t>/* #91: LPI2C_6 */</t>
  </si>
  <si>
    <t>0x20000000</t>
  </si>
  <si>
    <t>PWM_PWM_CH_2_ISR</t>
  </si>
  <si>
    <t>/* #128: PWM2 */</t>
  </si>
  <si>
    <t>osISRWrap_IRQSTEER_EXT_2_ISR</t>
  </si>
  <si>
    <t>/* #50: IRQSTEER_EXT_2_ISR */</t>
  </si>
  <si>
    <t>GPT_4_ISR</t>
  </si>
  <si>
    <t>GPT_5_ISR</t>
  </si>
  <si>
    <t>/* #116: GPT_4 */</t>
  </si>
  <si>
    <t>/* #428: GPT_5 */</t>
  </si>
  <si>
    <t>C:\Users\ASINGH33\Desktop\anant\06_01_2022\bsw-gen\Appl\GenData\Os_Cfg.h</t>
  </si>
  <si>
    <t>C:\Users\ASINGH33\Desktop\anant\06_01_2022\bsw-gen\Appl\GenData\Os_Types_Lcfg.h</t>
  </si>
  <si>
    <t>C:\Users\ASINGH33\Desktop\anant\06_01_2022\bsw-gen\Appl\GenData\Os_Alarm_Lcfg.c</t>
  </si>
  <si>
    <t>osISRWrap_FlexRAM_ISR</t>
  </si>
  <si>
    <t>Number of resources:</t>
  </si>
  <si>
    <t>Resource</t>
  </si>
  <si>
    <t>Task</t>
  </si>
  <si>
    <t>RES_SCHEDULER</t>
  </si>
  <si>
    <t>Number of Task Priorities</t>
  </si>
  <si>
    <t>STRONGLY_ORDERED</t>
  </si>
  <si>
    <t>NON_CACHEABLE</t>
  </si>
  <si>
    <t>osTaskStackOsApplication28</t>
  </si>
  <si>
    <t>osTaskStackOsApplication29</t>
  </si>
  <si>
    <t>osTaskStackOsApplication30</t>
  </si>
  <si>
    <t>osLevelStackCore0Level2</t>
  </si>
  <si>
    <r>
      <rPr>
        <b/>
        <sz val="11"/>
        <rFont val="Calibri"/>
        <family val="2"/>
        <scheme val="minor"/>
      </rPr>
      <t xml:space="preserve">Note:
</t>
    </r>
    <r>
      <rPr>
        <sz val="11"/>
        <rFont val="Calibri"/>
        <family val="2"/>
        <scheme val="minor"/>
      </rPr>
      <t>For IMXRT RE Kcluster - "IRQ #" should match with IRQ number of the datasheet and Cpu IRQ# is location of ISRWrap on Vector Table Which is (IRQ#+16)
For IMx8 - "IRQ #" should be the IRQ number in Vectortable and "Cpu IRQ#" is not required.
For Traveo - "IRQ #" should be the IRQ number in Vectortable and "Cpu IRQ#" should be filled with one of the CPU IRQs.</t>
    </r>
  </si>
  <si>
    <t>Start Addr</t>
  </si>
  <si>
    <t>End Addr</t>
  </si>
  <si>
    <t>Size in Hex</t>
  </si>
  <si>
    <t>KB</t>
  </si>
  <si>
    <t>MB</t>
  </si>
  <si>
    <t>GB</t>
  </si>
  <si>
    <t>Mem Region</t>
  </si>
  <si>
    <t>Rte_Ev_Run_CBacklightCdd_CBacklightCdd_Impl_MainFunction</t>
  </si>
  <si>
    <t>Rte_Al_TE_CBacklightCdd_CBacklightCdd_Impl_MainFunction</t>
  </si>
  <si>
    <t>Rte_Ev_Run_CanTp_CanTp_MainFunction</t>
  </si>
  <si>
    <t>Rte_Al_TE_CanTp_CanTp_MainFunction</t>
  </si>
  <si>
    <t>Rte_Ev_Run_SndCdd_CSndCdd_ToneProcess</t>
  </si>
  <si>
    <t>Rte_Al_TE_SndCdd_CSndCdd_ToneProcess</t>
  </si>
  <si>
    <t>0x40000000</t>
  </si>
  <si>
    <t>CACHEABLE_WRITEBACK_ALLOCATE</t>
  </si>
  <si>
    <t>OSAPPLICATIONS_PROTECTION</t>
  </si>
  <si>
    <t>Stack Sharing</t>
  </si>
  <si>
    <t>MosExt</t>
  </si>
  <si>
    <t>Disabled</t>
  </si>
  <si>
    <t>Number of Stacks</t>
  </si>
  <si>
    <t xml:space="preserve">MPU_STACK_REGION_NUM     </t>
  </si>
  <si>
    <t>OsApplication_SecuredSystem</t>
  </si>
  <si>
    <t>OsMpu_SecuredSystem</t>
  </si>
  <si>
    <t>0x00000000</t>
  </si>
  <si>
    <t>ROM</t>
  </si>
  <si>
    <t>0x10000000</t>
  </si>
  <si>
    <t>Code Flash</t>
  </si>
  <si>
    <t>0x28000000</t>
  </si>
  <si>
    <t>SRAM</t>
  </si>
  <si>
    <t>0x2804E000</t>
  </si>
  <si>
    <t>CM7_0_BURAM</t>
  </si>
  <si>
    <t>0x28050000</t>
  </si>
  <si>
    <t>SRAM_SHARED</t>
  </si>
  <si>
    <t>0x28040000</t>
  </si>
  <si>
    <t>0x28046000</t>
  </si>
  <si>
    <t>SAFE_DATA_SRAM</t>
  </si>
  <si>
    <t>0x28048000</t>
  </si>
  <si>
    <t>0xC0</t>
  </si>
  <si>
    <t>SECURE_SRAM</t>
  </si>
  <si>
    <t>0x60000000</t>
  </si>
  <si>
    <t>HFLASH</t>
  </si>
  <si>
    <t>0x80000000</t>
  </si>
  <si>
    <t>HRAM</t>
  </si>
  <si>
    <t>0x14000000</t>
  </si>
  <si>
    <t>EXECUTE_FORBIDDEN</t>
  </si>
  <si>
    <t>WorkFlash</t>
  </si>
  <si>
    <t>0x17000000</t>
  </si>
  <si>
    <t>Flash Supervisory</t>
  </si>
  <si>
    <t>DTCM</t>
  </si>
  <si>
    <t>Peripheral</t>
  </si>
  <si>
    <t>0x24000000</t>
  </si>
  <si>
    <t>VRAM</t>
  </si>
  <si>
    <t>R_Res_0</t>
  </si>
  <si>
    <t>OsTask_InfotainmentTask</t>
  </si>
  <si>
    <t>T_HMI_App</t>
  </si>
  <si>
    <t>T_HMI_DP_Main</t>
  </si>
  <si>
    <t>T_HMI_Main</t>
  </si>
  <si>
    <t>R_Res_1</t>
  </si>
  <si>
    <t>OsTask_Renderer</t>
  </si>
  <si>
    <t>R_Res_2</t>
  </si>
  <si>
    <t>R_Res_3</t>
  </si>
  <si>
    <t>R_Res_4</t>
  </si>
  <si>
    <t>T_HMI_Messages</t>
  </si>
  <si>
    <t>R_Res_5</t>
  </si>
  <si>
    <t>OsRes_DrwEng</t>
  </si>
  <si>
    <t>OsRes_RdrSync</t>
  </si>
  <si>
    <t>OsRes_BAPCom</t>
  </si>
  <si>
    <t>OsRes_DispUpdate</t>
  </si>
  <si>
    <t>IoHwAb_SetOutputPin</t>
  </si>
  <si>
    <t>OutputId</t>
  </si>
  <si>
    <t>IoHwAb_DOutSignalIdType</t>
  </si>
  <si>
    <t>In</t>
  </si>
  <si>
    <t>Std_ReturnType</t>
  </si>
  <si>
    <t>OutputSignal</t>
  </si>
  <si>
    <t>boolean</t>
  </si>
  <si>
    <t>ErrorStatus</t>
  </si>
  <si>
    <t>IoHwAb_ErrorType</t>
  </si>
  <si>
    <t>InOut</t>
  </si>
  <si>
    <t>IoHwAb_GetProcessedInput</t>
  </si>
  <si>
    <t>InputId</t>
  </si>
  <si>
    <t>IoHwAb_DInSignalIdType</t>
  </si>
  <si>
    <t>InputSignal</t>
  </si>
  <si>
    <t>IoHwAb_GetAsyncRawInput</t>
  </si>
  <si>
    <t>AsyncInput</t>
  </si>
  <si>
    <t>IoHwAb_GetSyncRawInput</t>
  </si>
  <si>
    <t>SyncInput</t>
  </si>
  <si>
    <t>IoHwAb_GetProcessedAdc</t>
  </si>
  <si>
    <t>AdcId</t>
  </si>
  <si>
    <t>IoHwAb_AdcSignalIdType</t>
  </si>
  <si>
    <t>ProcessedAdc</t>
  </si>
  <si>
    <t>sint32</t>
  </si>
  <si>
    <t>IoHwAb_GetAsyncRawAdc</t>
  </si>
  <si>
    <t>AsyncRawAdc</t>
  </si>
  <si>
    <t>uint16</t>
  </si>
  <si>
    <t>IoHwAb_GetSyncRawAdc</t>
  </si>
  <si>
    <t>SyncRawAdc</t>
  </si>
  <si>
    <t>IoHwAb_PwmSetDuty</t>
  </si>
  <si>
    <t>PwmId</t>
  </si>
  <si>
    <t>IoHwAb_PwmSignalIdType</t>
  </si>
  <si>
    <t>Pwm_Duty</t>
  </si>
  <si>
    <t>IoHwAb_PwmSetDutyAndPeriod</t>
  </si>
  <si>
    <t>Pwm_Period</t>
  </si>
  <si>
    <t>uint32</t>
  </si>
  <si>
    <t>IoHwAb_PwmSetIdeal</t>
  </si>
  <si>
    <t>Adc_SetupResultBuffer</t>
  </si>
  <si>
    <t>Group</t>
  </si>
  <si>
    <t>Adc_GroupType</t>
  </si>
  <si>
    <t>DataBufferPtr</t>
  </si>
  <si>
    <t>Adc_ValueGroupType</t>
  </si>
  <si>
    <t>Port_SetPinDirection</t>
  </si>
  <si>
    <t>Pin</t>
  </si>
  <si>
    <t>Port_PinType</t>
  </si>
  <si>
    <t>Port_PinDirectionType</t>
  </si>
  <si>
    <t>Port_SetPinMode</t>
  </si>
  <si>
    <t>Mode</t>
  </si>
  <si>
    <t>Port_PinModeType</t>
  </si>
  <si>
    <t>Pwm_SetDutyCycle</t>
  </si>
  <si>
    <t>ChannelNumber</t>
  </si>
  <si>
    <t>Pwm_ChannelType</t>
  </si>
  <si>
    <t>u16DutyCycle</t>
  </si>
  <si>
    <t>Adc_Types.h</t>
  </si>
  <si>
    <t>Pwm_Types.h</t>
  </si>
  <si>
    <t>Port.h</t>
  </si>
  <si>
    <t>Rte_Type.h</t>
  </si>
  <si>
    <t>osdT_HMI_Main_TOP</t>
  </si>
  <si>
    <t>Extended</t>
  </si>
  <si>
    <t>osdOsTask_Renderer_TOP</t>
  </si>
  <si>
    <t>Basic</t>
  </si>
  <si>
    <t>OsTask_SWC_10ms</t>
  </si>
  <si>
    <t>osdOsTask_SWC_10ms_TOP</t>
  </si>
  <si>
    <t>OsTask_SWC_50ms_100ms</t>
  </si>
  <si>
    <t>osdOsTask_SWC_50ms_100ms_TOP</t>
  </si>
  <si>
    <t>OsTask_SWCEvent_1</t>
  </si>
  <si>
    <t>osdOsTask_SWCEvent_1_TOP</t>
  </si>
  <si>
    <t>OsTask_SWCEvent_2</t>
  </si>
  <si>
    <t>osdOsTask_SWCEvent_2_TOP</t>
  </si>
  <si>
    <t>OsTask_SWCEvent_3</t>
  </si>
  <si>
    <t>osdOsTask_SWCEvent_3_TOP</t>
  </si>
  <si>
    <t>osTaskStackOsApplication15</t>
  </si>
  <si>
    <t>OsTask_SWCEvent_4</t>
  </si>
  <si>
    <t>osdOsTask_SWCEvent_4_TOP</t>
  </si>
  <si>
    <t>osTaskStackOsApplication16</t>
  </si>
  <si>
    <t>OsTask_SWCEvent_5</t>
  </si>
  <si>
    <t>osdOsTask_SWCEvent_5_TOP</t>
  </si>
  <si>
    <t>osTaskStackOsApplication17</t>
  </si>
  <si>
    <t>osTaskStackOsApplication18</t>
  </si>
  <si>
    <t>OsTask_Comm_EventPeriodic</t>
  </si>
  <si>
    <t>osdOsTask_Comm_EventPeriodic_TOP</t>
  </si>
  <si>
    <t>osdT_HMI_App_TOP</t>
  </si>
  <si>
    <t>osdOsTask_InfotainmentTask_TOP</t>
  </si>
  <si>
    <t>osdT_HMI_DP_Main_TOP</t>
  </si>
  <si>
    <t>OsTask_Bsw_EventPeriodic</t>
  </si>
  <si>
    <t>osdOsTask_Bsw_EventPeriodic_TOP</t>
  </si>
  <si>
    <t>osdT_HMI_Messages_TOP</t>
  </si>
  <si>
    <t>OsTask_SecSysEvent</t>
  </si>
  <si>
    <t>osdOsTask_SecSysEvent_TOP</t>
  </si>
  <si>
    <t>OsTask_SecSysPeriodic</t>
  </si>
  <si>
    <t>osdOsTask_SecSysPeriodic_TOP</t>
  </si>
  <si>
    <t>OsTask_SecSysInit</t>
  </si>
  <si>
    <t>osdOsTask_SecSysInit_TOP</t>
  </si>
  <si>
    <t>Task Type</t>
  </si>
  <si>
    <t>Traveo II C</t>
  </si>
  <si>
    <t>CAN0_ISR</t>
  </si>
  <si>
    <t>Can_Interrupt_CANFD00_Cat2func</t>
  </si>
  <si>
    <t>GPT_ISR</t>
  </si>
  <si>
    <t>GPT_Isr_Vector_680_Cat2func</t>
  </si>
  <si>
    <t>BACKUP</t>
  </si>
  <si>
    <t>RtcDrvCdd_AlarmInterruptHandlerfunc</t>
  </si>
  <si>
    <t>SCB1</t>
  </si>
  <si>
    <t>SCB1_InterruptHandlerfunc</t>
  </si>
  <si>
    <t>PDMA48</t>
  </si>
  <si>
    <t>PDMA_Isr_Vector_472_Cat2func</t>
  </si>
  <si>
    <t>PDMA49</t>
  </si>
  <si>
    <t>PDMA_Isr_Vector_473_Cat2func</t>
  </si>
  <si>
    <t>PDMA50</t>
  </si>
  <si>
    <t>PDMA_Isr_Vector_474_Cat2func</t>
  </si>
  <si>
    <t>PDMA51</t>
  </si>
  <si>
    <t>PDMA_Isr_Vector_475_Cat2func</t>
  </si>
  <si>
    <t>PDMA52</t>
  </si>
  <si>
    <t>PDMA_Isr_Vector_476_Cat2func</t>
  </si>
  <si>
    <t>cpuss_interrupts_ipc_6_IRQn</t>
  </si>
  <si>
    <t>CySldIpc_Isr_IpcDrv_Cat2</t>
  </si>
  <si>
    <t>ISR_GFX2D</t>
  </si>
  <si>
    <t>CyGfx_kInterruptHandlerGfx2d</t>
  </si>
  <si>
    <t>ISR_VIDEOIO_0</t>
  </si>
  <si>
    <t>CyGfx_kInterruptHandlerVideoio0</t>
  </si>
  <si>
    <t>ISR_VIDEOIO_1</t>
  </si>
  <si>
    <t>CyGfx_kInterruptHandlerVideoio1</t>
  </si>
  <si>
    <t>ISR_IMMO_TIMER1</t>
  </si>
  <si>
    <t xml:space="preserve">GPT_Isr_Vector_685_Cat2func </t>
  </si>
  <si>
    <t>ISR_IMMO_TIMER2</t>
  </si>
  <si>
    <t xml:space="preserve">GPT_Isr_Vector_686_Cat2func  </t>
  </si>
  <si>
    <t>ISR_IMMO_ICU1</t>
  </si>
  <si>
    <t>TCPWM_Isr_Vector_573_Cat2func</t>
  </si>
  <si>
    <t>ISR_PDMA22</t>
  </si>
  <si>
    <t>PDMA_Isr_Vector_318_Cat2func</t>
  </si>
  <si>
    <t>ISR_MDMA1</t>
  </si>
  <si>
    <t>MDMA_Isr_Vector_289_Cat2func</t>
  </si>
  <si>
    <t>ISR_MDMA2</t>
  </si>
  <si>
    <t>MDMA_Isr_Vector_290_Cat2func</t>
  </si>
  <si>
    <t>ISR_IMMO_1MS_TASK</t>
  </si>
  <si>
    <t xml:space="preserve">GPT_Isr_Vector_687_Cat2func </t>
  </si>
  <si>
    <t>ISR_IMMO_5MS_TASK</t>
  </si>
  <si>
    <t xml:space="preserve">GPT_Isr_Vector_688_Cat2func </t>
  </si>
  <si>
    <t>CAN0_WAKEUP_ISR</t>
  </si>
  <si>
    <t>Icu_Isr_Vector_25_Cat2func</t>
  </si>
  <si>
    <t>GPT_ISR_1_25MS</t>
  </si>
  <si>
    <t>GPT_Isr_Vector_684_Cat2func</t>
  </si>
  <si>
    <t>Rte_Ev_Run_CDisplayCdd_CDisplayCdd_Impl_MainFunction</t>
  </si>
  <si>
    <t>Rte_Al_TE_CDisplayCdd_CDisplayCdd_Impl_MainFunction</t>
  </si>
  <si>
    <t>Rte_Ev_Run_CTRL_App_Task</t>
  </si>
  <si>
    <t>Rte_Al_TE_CTRL_App_Task</t>
  </si>
  <si>
    <t>Rte_Ev_Run_CTRL_EOL_Task</t>
  </si>
  <si>
    <t>Rte_Al_TE_CTRL_EOL_Task</t>
  </si>
  <si>
    <t>Rte_Ev_Run_CTRL_Warning_Task</t>
  </si>
  <si>
    <t>Rte_Al_TE_CTRL_Warning_Task</t>
  </si>
  <si>
    <t>Rte_Ev_Run_CTempMonCdd_CTempMonCdd_Impl_MainFunction</t>
  </si>
  <si>
    <t>Rte_Al_TE_CTempMonCdd_CTempMonCdd_Impl_MainFunction</t>
  </si>
  <si>
    <t>Rte_Ev_Run_CXDR_GFX_Hmi_Timer_Task</t>
  </si>
  <si>
    <t>Rte_Al_TE_CXDR_GFX_Hmi_Timer_Task</t>
  </si>
  <si>
    <t>Rte_Ev_Run_IoCtrl_IoCtrl_MainFunction</t>
  </si>
  <si>
    <t>Rte_Al_TE_IoCtrl_IoCtrl_MainFunction</t>
  </si>
  <si>
    <t>Rte_Ev_Run_IoCtrl_IoCtrl_StackMeasure</t>
  </si>
  <si>
    <t>Rte_Al_TE_IoCtrl_IoCtrl_StackMeasure</t>
  </si>
  <si>
    <t>Rte_Ev_Run_IvdShA_Ivd_MainFunction</t>
  </si>
  <si>
    <t>Rte_Al_TE_IvdShA_Ivd_MainFunction</t>
  </si>
  <si>
    <t>Rte_Ev_Run_MDL_BCCT_Task</t>
  </si>
  <si>
    <t>Rte_Al_TE_MDL_BCCT_Task</t>
  </si>
  <si>
    <t>Rte_Ev_Run_MDL_CarHandling_Task</t>
  </si>
  <si>
    <t>Rte_Al_TE_MDL_CarHandling_Task</t>
  </si>
  <si>
    <t>Rte_Ev_Run_MDL_CarLeaving_Task</t>
  </si>
  <si>
    <t>Rte_Al_TE_MDL_CarLeaving_Task</t>
  </si>
  <si>
    <t>Rte_Ev_Run_MDL_Clock_Update_Task</t>
  </si>
  <si>
    <t>Rte_Al_TE_MDL_Clock_Update_Task</t>
  </si>
  <si>
    <t>Rte_Ev_Run_MDL_Cruise_Task</t>
  </si>
  <si>
    <t>Rte_Al_TE_MDL_Cruise_Task</t>
  </si>
  <si>
    <t>Rte_Ev_Run_MDL_Heater_Task</t>
  </si>
  <si>
    <t>Rte_Al_TE_MDL_Heater_Task</t>
  </si>
  <si>
    <t>Rte_Ev_Run_MDL_InternTemp_Task</t>
  </si>
  <si>
    <t>Rte_Al_TE_MDL_InternTemp_Task</t>
  </si>
  <si>
    <t>Rte_Ev_Run_MDL_Service_Task</t>
  </si>
  <si>
    <t>Rte_Al_TE_MDL_Service_Task</t>
  </si>
  <si>
    <t>Rte_Ev_Run_MDL_SiWaLa_Task</t>
  </si>
  <si>
    <t>Rte_Al_TE_MDL_SiWaLa_Task</t>
  </si>
  <si>
    <t>Rte_Ev_Run_MDL_Tank_Task</t>
  </si>
  <si>
    <t>Rte_Al_TE_MDL_Tank_Task</t>
  </si>
  <si>
    <t>Rte_Ev_Run_MDL_Tank_Task_Sampling</t>
  </si>
  <si>
    <t>Rte_Al_TE_MDL_Tank_Task_Sampling</t>
  </si>
  <si>
    <t>Rte_Ev_Run_MDL_VehicleType_Task</t>
  </si>
  <si>
    <t>Rte_Al_TE_MDL_VehicleType_Task</t>
  </si>
  <si>
    <t>Rte_Ev_Cyclic_OsTask_BswCtrl_EventPeriodic_0_10ms</t>
  </si>
  <si>
    <t>Rte_Al_TE_OsTask_BswCtrl_EventPeriodic_0_10ms</t>
  </si>
  <si>
    <t>Rte_Ev_Cyclic_OsTask_Bsw_EventPeriodic_2_10ms</t>
  </si>
  <si>
    <t>Rte_Al_TE_OsTask_Bsw_EventPeriodic_2_10ms</t>
  </si>
  <si>
    <t>Rte_Ev_Cyclic_OsTask_Cdd_EventPeriodic_0_0_10ms</t>
  </si>
  <si>
    <t>Rte_Al_TE_OsTask_Cdd_EventPeriodic_0_0_10ms</t>
  </si>
  <si>
    <t>Rte_Ev_Cyclic_OsTask_SWCEventPeriodic_1_2_10ms</t>
  </si>
  <si>
    <t>Rte_Al_TE_OsTask_SWCEventPeriodic_1_2_10ms</t>
  </si>
  <si>
    <t>Rte_Ev_Cyclic_OsTask_SWC_10ms_6_10ms</t>
  </si>
  <si>
    <t>Rte_Al_TE_OsTask_SWC_10ms_6_10ms</t>
  </si>
  <si>
    <t>Rte_Ev_Cyclic_OsTask_SafeBsw_1_0_10ms</t>
  </si>
  <si>
    <t>Rte_Al_TE_OsTask_SafeBsw_1_0_10ms</t>
  </si>
  <si>
    <t>Rte_Ev_Cyclic_OsTask_SafeBsw_1_6_10ms</t>
  </si>
  <si>
    <t>Rte_Al_TE_OsTask_SafeBsw_1_6_10ms</t>
  </si>
  <si>
    <t>Rte_Ev_Cyclic_OsTask_SafeSWCEventPeriodic_0_2_10ms</t>
  </si>
  <si>
    <t>Rte_Al_TE_OsTask_SafeSWCEventPeriodic_0_2_10ms</t>
  </si>
  <si>
    <t>Rte_Ev_Cyclic_OsTask_SafeSWCEventPeriodic_0_4_10ms</t>
  </si>
  <si>
    <t>Rte_Al_TE_OsTask_SafeSWCEventPeriodic_0_4_10ms</t>
  </si>
  <si>
    <t>Rte_Ev_Cyclic_OsTask_SecSysPeriodic_2_10ms</t>
  </si>
  <si>
    <t>Rte_Al_TE_OsTask_SecSysPeriodic_2_10ms</t>
  </si>
  <si>
    <t>Rte_Ev_Run_PowerCdd_PowerCdd_MainFunction</t>
  </si>
  <si>
    <t>Rte_Al_TE_PowerCdd_PowerCdd_MainFunction</t>
  </si>
  <si>
    <t>Rte_Ev_Run_PowerCdd_PowerCdd_StateTransistionProcess</t>
  </si>
  <si>
    <t>Rte_Al_TE_PowerCdd_PowerCdd_StateTransistionProcess</t>
  </si>
  <si>
    <t>Rte_Ev_Run_SRV_ComExt_Safety_TaskFast</t>
  </si>
  <si>
    <t>Rte_Al_TE_SRV_ComExt_Safety_TaskFast</t>
  </si>
  <si>
    <t>Rte_Ev_Run_SRV_ComExt_Task50ms</t>
  </si>
  <si>
    <t>Rte_Al_TE_SRV_ComExt_Task50ms</t>
  </si>
  <si>
    <t>Rte_Ev_Run_SRV_CsmH_Task</t>
  </si>
  <si>
    <t>Rte_Al_TE_SRV_CsmH_Task</t>
  </si>
  <si>
    <t>Rte_Ev_Run_SRV_NvMExt_Task</t>
  </si>
  <si>
    <t>Rte_Al_TE_SRV_NvMExt_Task</t>
  </si>
  <si>
    <t>Rte_Ev_Run_SRV_WdgM_Checkpoint_Monitor</t>
  </si>
  <si>
    <t>Rte_Al_TE_SRV_WdgM_Checkpoint_Monitor</t>
  </si>
  <si>
    <t>Rte_Ev_Run_SRV_WdgM_Task</t>
  </si>
  <si>
    <t>Rte_Al_TE_SRV_WdgM_Task</t>
  </si>
  <si>
    <t>Rte_Ev_Run_SafeBsw_OsTask_SafeSWCEventPeriodic_0_Wdgm_Checkpoint_5ms</t>
  </si>
  <si>
    <t>Rte_Al_TE_SafeBsw_OsTask_SafeSWCEventPeriodic_0_Wdgm_Checkpoint_5ms</t>
  </si>
  <si>
    <t>Rte_Ev_Run_SndCdd_CSndCdd_Impl_MainFunction</t>
  </si>
  <si>
    <t>Rte_Al_TE_SndCdd_CSndCdd_Impl_MainFunction</t>
  </si>
  <si>
    <t>Rte_Ev_Run_SokFm_SokFm_MainFunction</t>
  </si>
  <si>
    <t>Rte_Al_TE_SokFm_SokFm_MainFunction</t>
  </si>
  <si>
    <t>Rte_Ev_Run_VIEW_Sound_Task</t>
  </si>
  <si>
    <t>Rte_Al_TE_VIEW_Sound_Task</t>
  </si>
  <si>
    <t>Rte_Ev_Run_WdgMExt_OsTask_Comm_EventPeriodic_Wdgm_Checkpoint_50ms</t>
  </si>
  <si>
    <t>Rte_Al_TE_WdgMExt_OsTask_Comm_EventPeriodic_Wdgm_Checkpoint_50ms</t>
  </si>
  <si>
    <t>Rte_Ev_Run_WdgMExt_OsTask_SWCEventPeriodic_0_Wdgm_Checkpoint_100ms</t>
  </si>
  <si>
    <t>Rte_Al_TE_WdgMExt_OsTask_SWCEventPeriodic_0_Wdgm_Checkpoint_100ms</t>
  </si>
  <si>
    <t>Rte_Ev_Run_WdgMExt_OsTask_SWCEventPeriodic_2_Wdgm_Checkpoint_100ms</t>
  </si>
  <si>
    <t>Rte_Al_TE_WdgMExt_OsTask_SWCEventPeriodic_2_Wdgm_Checkpoint_100ms</t>
  </si>
  <si>
    <t>Rte_Ev_Run_WdgMExt_OsTask_SWCEventPeriodic_2_Wdgm_Checkpoint_50ms</t>
  </si>
  <si>
    <t>Rte_Al_TE_WdgMExt_OsTask_SWCEventPeriodic_2_Wdgm_Checkpoint_50ms</t>
  </si>
  <si>
    <t>Rte_Ev_Run_WdgMExt_OsTask_SWC_50ms_100ms_Wdgm_Checkpoint_50ms</t>
  </si>
  <si>
    <t>Rte_Al_TE_WdgMExt_OsTask_SWC_50ms_100ms_Wdgm_Checkpoint_50ms</t>
  </si>
  <si>
    <t xml:space="preserve">  Rte_Al_TE2_OsTask_BswCtrl_EventPeriodic_0_10ms = 0,  /* PRQA S 0784 */ /* MD_Os_Rule5.5_0784 */</t>
  </si>
  <si>
    <t># define Rte_Ev_Cyclic2_OsTask_BswCtrl_EventPeriodic_0_10ms     ((EventMaskType)1uLL)</t>
  </si>
  <si>
    <t># define Rte_Ev_Cyclic_OsTask_BswCtrl_EventPeriodic_0_10ms     ((EventMaskType)2uLL)</t>
  </si>
  <si>
    <t># define Rte_Ev_Cyclic_OsTask_Bsw_EventPeriodic_2_10ms     ((EventMaskType)4uLL)</t>
  </si>
  <si>
    <t># define Rte_Ev_Cyclic_OsTask_Cdd_EventPeriodic_0_0_10ms     ((EventMaskType)1uLL)</t>
  </si>
  <si>
    <t># define Rte_Ev_Cyclic_OsTask_SafeBsw_1_0_10ms     ((EventMaskType)1uLL)</t>
  </si>
  <si>
    <t># define Rte_Ev_Cyclic_OsTask_SafeBsw_1_6_10ms     ((EventMaskType)2uLL)</t>
  </si>
  <si>
    <t># define Rte_Ev_Cyclic_OsTask_SafeSWCEventPeriodic_0_4_10ms     ((EventMaskType)4uLL)</t>
  </si>
  <si>
    <t># define Rte_Ev_Cyclic_OsTask_SecSysPeriodic_2_10ms     ((EventMaskType)1uLL)</t>
  </si>
  <si>
    <t># define Rte_Ev_MS_OsTask_SWCEvent_5     ((EventMaskType)4uLL)</t>
  </si>
  <si>
    <t># define Rte_Ev_Run_CBacklightCdd_CBacklightCdd_Impl_MainFunction     ((EventMaskType)1uLL)</t>
  </si>
  <si>
    <t># define Rte_Ev_Run_CDisplayCdd_CDisplayCdd_Impl_MainFunction     ((EventMaskType)2uLL)</t>
  </si>
  <si>
    <t># define Rte_Ev_Run_CTempMonCdd_CTempMonCdd_Impl_MainFunction     ((EventMaskType)4uLL)</t>
  </si>
  <si>
    <t># define Rte_Ev_Run_CXDR_Sensors_OnEnterPOSTRUN     ((EventMaskType)16uLL)</t>
  </si>
  <si>
    <t># define Rte_Ev_Run_CXDR_Sensors_OnEnterRUN     ((EventMaskType)32uLL)</t>
  </si>
  <si>
    <t># define Rte_Ev_Run_MDL_Button_OnBtnChange_LSSFAS     ((EventMaskType)1uLL)</t>
  </si>
  <si>
    <t># define Rte_Ev_Run_MDL_Button_OnBtnChange_MFL     ((EventMaskType)2uLL)</t>
  </si>
  <si>
    <t># define Rte_Ev_Run_MDL_CarLeaving_OnMessageRx_WBA_03     ((EventMaskType)4uLL)</t>
  </si>
  <si>
    <t># define Rte_Ev_Run_MDL_CarLeaving_OnMessageTo_WBA_03     ((EventMaskType)8uLL)</t>
  </si>
  <si>
    <t># define Rte_Ev_Run_MDL_HMIGW_InfotainmentTask     ((EventMaskType)1uLL)</t>
  </si>
  <si>
    <t># define Rte_Ev_Run_MDL_HMIGW_Task     ((EventMaskType)1uLL)</t>
  </si>
  <si>
    <t># define Rte_Ev_Run_MDL_TKM_TKM_SSP_Bap_Indication_NKeyOv_BAP_Acknowledge     ((EventMaskType)1uLL)</t>
  </si>
  <si>
    <t># define Rte_Ev_Run_MDL_TKM_TKM_SSP_Bap_Indication_NKeyOv_BAP_IndicationByteSequence     ((EventMaskType)2uLL)</t>
  </si>
  <si>
    <t># define Rte_Ev_Run_MDL_TKM_TKM_SSP_Bap_Indication_NKeyOv_BAP_IndicationError     ((EventMaskType)4uLL)</t>
  </si>
  <si>
    <t># define Rte_Ev_Run_MDL_TKM_TKM_SSP_Bap_Indication_TriggerRemoteProcess_BAP_Acknowledge     ((EventMaskType)8uLL)</t>
  </si>
  <si>
    <t># define Rte_Ev_Run_MDL_TKM_TKM_SSP_Bap_Indication_TriggerRemoteProcess_BAP_IndicationByteSequence     ((EventMaskType)16uLL)</t>
  </si>
  <si>
    <t># define Rte_Ev_Run_MDL_TKM_TKM_SSP_Bap_Indication_TriggerRemoteProcess_BAP_IndicationError     ((EventMaskType)32uLL)</t>
  </si>
  <si>
    <t># define Rte_Ev_Run_MDL_TKM_TKM_SSP_CsmMacGenerateCallback_JobFinished     ((EventMaskType)64uLL)</t>
  </si>
  <si>
    <t># define Rte_Ev_Run_MDL_TKM_TKM_SSP_CsmSymKeyExtractCallback_JobFinished     ((EventMaskType)128uLL)</t>
  </si>
  <si>
    <t># define Rte_Ev_Run_NvBlockSwComponentType_NvBlockSwComponentTypeRunnable     ((EventMaskType)4uLL)</t>
  </si>
  <si>
    <t># define Rte_Ev_Run_NvMExt_NvMExt_SpeedupRunnable     ((EventMaskType)1uLL)</t>
  </si>
  <si>
    <t># define Rte_Ev_Run_SRV_ComExt_OnMessageRx_ACC_13     ((EventMaskType)16uLL)</t>
  </si>
  <si>
    <t># define Rte_Ev_Run_SRV_ComExt_OnMessageRx_ACC_15     ((EventMaskType)32uLL)</t>
  </si>
  <si>
    <t># define Rte_Ev_Run_SRV_ComExt_OnMessageRx_AGA_01     ((EventMaskType)64uLL)</t>
  </si>
  <si>
    <t># define Rte_Ev_Run_SRV_ComExt_OnMessageRx_ARA_Status_01     ((EventMaskType)128uLL)</t>
  </si>
  <si>
    <t># define Rte_Ev_Run_SRV_ComExt_OnMessageRx_ASTA_Sensor_01     ((EventMaskType)256uLL)</t>
  </si>
  <si>
    <t># define Rte_Ev_Run_SRV_ComExt_OnMessageRx_Airbag_02     ((EventMaskType)512uLL)</t>
  </si>
  <si>
    <t># define Rte_Ev_Run_SRV_ComExt_OnMessageRx_Airbag_04     ((EventMaskType)1024uLL)</t>
  </si>
  <si>
    <t># define Rte_Ev_Run_SRV_ComExt_OnMessageRx_Allrad_04     ((EventMaskType)2048uLL)</t>
  </si>
  <si>
    <t># define Rte_Ev_Run_SRV_ComExt_OnMessageRx_Anhaenger_01     ((EventMaskType)4096uLL)</t>
  </si>
  <si>
    <t># define Rte_Ev_Run_SRV_ComExt_OnMessageRx_BCM_01     ((EventMaskType)8192uLL)</t>
  </si>
  <si>
    <t># define Rte_Ev_Run_SRV_ComExt_OnMessageRx_BCM_04     ((EventMaskType)16384uLL)</t>
  </si>
  <si>
    <t># define Rte_Ev_Run_SRV_ComExt_OnMessageRx_BCM_Kessy_01     ((EventMaskType)32768uLL)</t>
  </si>
  <si>
    <t># define Rte_Ev_Run_SRV_ComExt_OnMessageRx_BEM_02     ((EventMaskType)65536uLL)</t>
  </si>
  <si>
    <t># define Rte_Ev_Run_SRV_ComExt_OnMessageRx_Blinkmodi_02     ((EventMaskType)131072uLL)</t>
  </si>
  <si>
    <t># define Rte_Ev_Run_SRV_ComExt_OnMessageRx_Charisma_03     ((EventMaskType)262144uLL)</t>
  </si>
  <si>
    <t># define Rte_Ev_Run_SRV_ComExt_OnMessageRx_DC_Hybrid_01     ((EventMaskType)524288uLL)</t>
  </si>
  <si>
    <t># define Rte_Ev_Run_SRV_ComExt_OnMessageRx_DEV_Kombi_RX1     ((EventMaskType)1048576uLL)</t>
  </si>
  <si>
    <t># define Rte_Ev_Run_SRV_ComExt_OnMessageRx_Daempfer_01     ((EventMaskType)2097152uLL)</t>
  </si>
  <si>
    <t># define Rte_Ev_Run_SRV_ComExt_OnMessageRx_Diagnose_01     ((EventMaskType)4194304uLL)</t>
  </si>
  <si>
    <t># define Rte_Ev_Run_SRV_ComExt_OnMessageRx_Dimmung_01     ((EventMaskType)8388608uLL)</t>
  </si>
  <si>
    <t># define Rte_Ev_Run_SRV_ComExt_OnMessageRx_ELV_01     ((EventMaskType)16777216uLL)</t>
  </si>
  <si>
    <t># define Rte_Ev_Run_SRV_ComExt_OnMessageRx_EM1_HYB_13     ((EventMaskType)33554432uLL)</t>
  </si>
  <si>
    <t># define Rte_Ev_Run_SRV_ComExt_OnMessageRx_EPB_02     ((EventMaskType)67108864uLL)</t>
  </si>
  <si>
    <t># define Rte_Ev_Run_SRV_ComExt_OnMessageRx_ESP_02     ((EventMaskType)134217728uLL)</t>
  </si>
  <si>
    <t># define Rte_Ev_Run_SRV_ComExt_OnMessageRx_ESP_20     ((EventMaskType)268435456uLL)</t>
  </si>
  <si>
    <t># define Rte_Ev_Run_SRV_ComExt_OnMessageRx_ESP_21     ((EventMaskType)536870912uLL)</t>
  </si>
  <si>
    <t># define Rte_Ev_Run_SRV_ComExt_OnMessageRx_ESP_30     ((EventMaskType)1073741824uLL)</t>
  </si>
  <si>
    <t># define Rte_Ev_Run_SRV_ComExt_OnMessageRx_FCW_01     ((EventMaskType)2147483648uLL)</t>
  </si>
  <si>
    <t># define Rte_Ev_Run_SRV_ComExt_OnMessageRx_GNSS_02     ((EventMaskType)4294967296uLL)</t>
  </si>
  <si>
    <t># define Rte_Ev_Run_SRV_ComExt_OnMessageRx_GNSS_03     ((EventMaskType)8589934592uLL)</t>
  </si>
  <si>
    <t># define Rte_Ev_Run_SRV_ComExt_OnMessageRx_GNSS_05     ((EventMaskType)17179869184uLL)</t>
  </si>
  <si>
    <t># define Rte_Ev_Run_SRV_ComExt_OnMessageRx_GNSS_07     ((EventMaskType)34359738368uLL)</t>
  </si>
  <si>
    <t># define Rte_Ev_Run_SRV_ComExt_OnMessageRx_GRA_ACC_01     ((EventMaskType)68719476736uLL)</t>
  </si>
  <si>
    <t># define Rte_Ev_Run_SRV_ComExt_OnMessageRx_Gateway_71     ((EventMaskType)137438953472uLL)</t>
  </si>
  <si>
    <t># define Rte_Ev_Run_SRV_ComExt_OnMessageRx_Gateway_73     ((EventMaskType)274877906944uLL)</t>
  </si>
  <si>
    <t># define Rte_Ev_Run_SRV_ComExt_OnMessageRx_Gateway_78     ((EventMaskType)549755813888uLL)</t>
  </si>
  <si>
    <t># define Rte_Ev_Run_SRV_ComExt_OnMessageRx_HVEM_04     ((EventMaskType)1099511627776uLL)</t>
  </si>
  <si>
    <t># define Rte_Ev_Run_SRV_ComExt_OnMessageRx_HVLM_05     ((EventMaskType)2199023255552uLL)</t>
  </si>
  <si>
    <t># define Rte_Ev_Run_SRV_ComExt_OnMessageRx_Kessy_04     ((EventMaskType)4398046511104uLL)</t>
  </si>
  <si>
    <t># define Rte_Ev_Run_SRV_ComExt_OnMessageRx_Klemmen_Status_01     ((EventMaskType)8796093022208uLL)</t>
  </si>
  <si>
    <t># define Rte_Ev_Run_SRV_ComExt_OnMessageRx_Klemmen_Steuerung_01     ((EventMaskType)17592186044416uLL)</t>
  </si>
  <si>
    <t># define Rte_Ev_Run_SRV_ComExt_OnMessageRx_Klima_12     ((EventMaskType)35184372088832uLL)</t>
  </si>
  <si>
    <t># define Rte_Ev_Run_SRV_ComExt_OnMessageRx_Klima_Sensor_02     ((EventMaskType)70368744177664uLL)</t>
  </si>
  <si>
    <t># define Rte_Ev_Run_SRV_ComExt_OnMessageRx_LDW_02     ((EventMaskType)140737488355328uLL)</t>
  </si>
  <si>
    <t># define Rte_Ev_Run_SRV_ComExt_OnMessageRx_LSH_02     ((EventMaskType)281474976710656uLL)</t>
  </si>
  <si>
    <t># define Rte_Ev_Run_SRV_ComExt_OnMessageRx_LWR_AFS_01     ((EventMaskType)562949953421312uLL)</t>
  </si>
  <si>
    <t># define Rte_Ev_Run_SRV_ComExt_OnMessageRx_Licht_Anf_01     ((EventMaskType)1125899906842624uLL)</t>
  </si>
  <si>
    <t># define Rte_Ev_Run_SRV_ComExt_OnMessageRx_Licht_hinten_01     ((EventMaskType)2251799813685248uLL)</t>
  </si>
  <si>
    <t># define Rte_Ev_Run_SRV_ComExt_OnMessageRx_Licht_vorne_01     ((EventMaskType)4503599627370496uLL)</t>
  </si>
  <si>
    <t># define Rte_Ev_Run_SRV_ComExt_OnMessageRx_MFG_01     ((EventMaskType)9007199254740992uLL)</t>
  </si>
  <si>
    <t># define Rte_Ev_Run_SRV_ComExt_OnMessageRx_MFG_03     ((EventMaskType)1uLL)</t>
  </si>
  <si>
    <t># define Rte_Ev_Run_SRV_ComExt_OnMessageRx_MFL_Tasten_Kon_01     ((EventMaskType)2uLL)</t>
  </si>
  <si>
    <t># define Rte_Ev_Run_SRV_ComExt_OnMessageRx_MainUnit_01     ((EventMaskType)18014398509481984uLL)</t>
  </si>
  <si>
    <t># define Rte_Ev_Run_SRV_ComExt_OnMessageRx_Mem_BFS_01     ((EventMaskType)36028797018963968uLL)</t>
  </si>
  <si>
    <t># define Rte_Ev_Run_SRV_ComExt_OnMessageRx_Mem_FS_01     ((EventMaskType)72057594037927936uLL)</t>
  </si>
  <si>
    <t># define Rte_Ev_Run_SRV_ComExt_OnMessageRx_Motor_04     ((EventMaskType)4uLL)</t>
  </si>
  <si>
    <t># define Rte_Ev_Run_SRV_ComExt_OnMessageRx_Motor_07     ((EventMaskType)8uLL)</t>
  </si>
  <si>
    <t># define Rte_Ev_Run_SRV_ComExt_OnMessageRx_Motor_09     ((EventMaskType)16uLL)</t>
  </si>
  <si>
    <t># define Rte_Ev_Run_SRV_ComExt_OnMessageRx_Motor_14     ((EventMaskType)32uLL)</t>
  </si>
  <si>
    <t># define Rte_Ev_Run_SRV_ComExt_OnMessageRx_Motor_18     ((EventMaskType)64uLL)</t>
  </si>
  <si>
    <t># define Rte_Ev_Run_SRV_ComExt_OnMessageRx_Motor_23     ((EventMaskType)128uLL)</t>
  </si>
  <si>
    <t># define Rte_Ev_Run_SRV_ComExt_OnMessageRx_Motor_26     ((EventMaskType)256uLL)</t>
  </si>
  <si>
    <t># define Rte_Ev_Run_SRV_ComExt_OnMessageRx_Motor_29     ((EventMaskType)144115188075855872uLL)</t>
  </si>
  <si>
    <t># define Rte_Ev_Run_SRV_ComExt_OnMessageRx_Motor_31     ((EventMaskType)512uLL)</t>
  </si>
  <si>
    <t># define Rte_Ev_Run_SRV_ComExt_OnMessageRx_Motor_36     ((EventMaskType)1024uLL)</t>
  </si>
  <si>
    <t># define Rte_Ev_Run_SRV_ComExt_OnMessageRx_Motor_41     ((EventMaskType)2048uLL)</t>
  </si>
  <si>
    <t># define Rte_Ev_Run_SRV_ComExt_OnMessageRx_Motor_Code_01     ((EventMaskType)4096uLL)</t>
  </si>
  <si>
    <t># define Rte_Ev_Run_SRV_ComExt_OnMessageRx_Motor_EV_01     ((EventMaskType)8192uLL)</t>
  </si>
  <si>
    <t># define Rte_Ev_Run_SRV_ComExt_OnMessageRx_Motor_EV_03     ((EventMaskType)16384uLL)</t>
  </si>
  <si>
    <t># define Rte_Ev_Run_SRV_ComExt_OnMessageRx_Motor_Gas_01     ((EventMaskType)32768uLL)</t>
  </si>
  <si>
    <t># define Rte_Ev_Run_SRV_ComExt_OnMessageRx_Motor_Hybrid_03     ((EventMaskType)65536uLL)</t>
  </si>
  <si>
    <t># define Rte_Ev_Run_SRV_ComExt_OnMessageRx_Motor_Hybrid_06     ((EventMaskType)131072uLL)</t>
  </si>
  <si>
    <t># define Rte_Ev_Run_SRV_ComExt_OnMessageRx_PLA_Status_01     ((EventMaskType)262144uLL)</t>
  </si>
  <si>
    <t># define Rte_Ev_Run_SRV_ComExt_OnMessageRx_PLA_Status_02     ((EventMaskType)524288uLL)</t>
  </si>
  <si>
    <t># define Rte_Ev_Run_SRV_ComExt_OnMessageRx_Personalisierung_01     ((EventMaskType)1048576uLL)</t>
  </si>
  <si>
    <t># define Rte_Ev_Run_SRV_ComExt_OnMessageRx_Quersperre_04     ((EventMaskType)2097152uLL)</t>
  </si>
  <si>
    <t># define Rte_Ev_Run_SRV_ComExt_OnMessageRx_RDK_02     ((EventMaskType)4194304uLL)</t>
  </si>
  <si>
    <t># define Rte_Ev_Run_SRV_ComExt_OnMessageRx_RGS_VL_01     ((EventMaskType)8388608uLL)</t>
  </si>
  <si>
    <t># define Rte_Ev_Run_SRV_ComExt_OnMessageRx_RKA_01     ((EventMaskType)16777216uLL)</t>
  </si>
  <si>
    <t># define Rte_Ev_Run_SRV_ComExt_OnMessageRx_RLS_01     ((EventMaskType)33554432uLL)</t>
  </si>
  <si>
    <t># define Rte_Ev_Run_SRV_ComExt_OnMessageRx_Reichweite_01     ((EventMaskType)67108864uLL)</t>
  </si>
  <si>
    <t># define Rte_Ev_Run_SRV_ComExt_OnMessageRx_Reichweite_02     ((EventMaskType)134217728uLL)</t>
  </si>
  <si>
    <t># define Rte_Ev_Run_SRV_ComExt_OnMessageRx_SMLS_01     ((EventMaskType)268435456uLL)</t>
  </si>
  <si>
    <t># define Rte_Ev_Run_SRV_ComExt_OnMessageRx_SSeed_01     ((EventMaskType)536870912uLL)</t>
  </si>
  <si>
    <t># define Rte_Ev_Run_SRV_ComExt_OnMessageRx_STH_01     ((EventMaskType)1073741824uLL)</t>
  </si>
  <si>
    <t># define Rte_Ev_Run_SRV_ComExt_OnMessageRx_STS_01     ((EventMaskType)2147483648uLL)</t>
  </si>
  <si>
    <t># define Rte_Ev_Run_SRV_ComExt_OnMessageRx_SWA_01     ((EventMaskType)4294967296uLL)</t>
  </si>
  <si>
    <t># define Rte_Ev_Run_SRV_ComExt_OnMessageRx_Systeminfo_01     ((EventMaskType)8589934592uLL)</t>
  </si>
  <si>
    <t># define Rte_Ev_Run_SRV_ComExt_OnMessageRx_TA_01     ((EventMaskType)17179869184uLL)</t>
  </si>
  <si>
    <t># define Rte_Ev_Run_SRV_ComExt_OnMessageRx_TCO_01     ((EventMaskType)34359738368uLL)</t>
  </si>
  <si>
    <t># define Rte_Ev_Run_SRV_ComExt_OnMessageRx_TM_01     ((EventMaskType)68719476736uLL)</t>
  </si>
  <si>
    <t># define Rte_Ev_Run_SRV_ComExt_OnMessageRx_TSG_FT_01     ((EventMaskType)137438953472uLL)</t>
  </si>
  <si>
    <t># define Rte_Ev_Run_SRV_ComExt_OnMessageRx_TSG_FT_02     ((EventMaskType)274877906944uLL)</t>
  </si>
  <si>
    <t># define Rte_Ev_Run_SRV_ComExt_OnMessageRx_Thermo_Verbrauch_01     ((EventMaskType)549755813888uLL)</t>
  </si>
  <si>
    <t># define Rte_Ev_Run_SRV_ComExt_OnMessageRx_TimeDate     ((EventMaskType)1099511627776uLL)</t>
  </si>
  <si>
    <t># define Rte_Ev_Run_SRV_ComExt_OnMessageRx_VehiDist     ((EventMaskType)2199023255552uLL)</t>
  </si>
  <si>
    <t># define Rte_Ev_Run_SRV_ComExt_OnMessageRx_Verdeck_01     ((EventMaskType)4398046511104uLL)</t>
  </si>
  <si>
    <t># define Rte_Ev_Run_SRV_ComExt_OnMessageRx_WBA_03     ((EventMaskType)8796093022208uLL)</t>
  </si>
  <si>
    <t># define Rte_Ev_Run_SRV_ComExt_OnMessageRx_WIV_01     ((EventMaskType)17592186044416uLL)</t>
  </si>
  <si>
    <t># define Rte_Ev_Run_SRV_ComExt_OnMessageRx_Wischer_01     ((EventMaskType)35184372088832uLL)</t>
  </si>
  <si>
    <t># define Rte_Ev_Run_SRV_ComExt_OnMessageRx_ZV_01     ((EventMaskType)70368744177664uLL)</t>
  </si>
  <si>
    <t># define Rte_Ev_Run_SRV_ComExt_OnMessageRx_ZV_02     ((EventMaskType)140737488355328uLL)</t>
  </si>
  <si>
    <t># define Rte_Ev_Run_SRV_ComExt_OnMessageTo_ACC_13     ((EventMaskType)281474976710656uLL)</t>
  </si>
  <si>
    <t># define Rte_Ev_Run_SRV_ComExt_OnMessageTo_ACC_15     ((EventMaskType)562949953421312uLL)</t>
  </si>
  <si>
    <t># define Rte_Ev_Run_SRV_ComExt_OnMessageTo_AGA_01     ((EventMaskType)1125899906842624uLL)</t>
  </si>
  <si>
    <t># define Rte_Ev_Run_SRV_ComExt_OnMessageTo_ARA_Status_01     ((EventMaskType)2251799813685248uLL)</t>
  </si>
  <si>
    <t># define Rte_Ev_Run_SRV_ComExt_OnMessageTo_Allrad_04     ((EventMaskType)4503599627370496uLL)</t>
  </si>
  <si>
    <t># define Rte_Ev_Run_SRV_ComExt_OnMessageTo_Anhaenger_01     ((EventMaskType)9007199254740992uLL)</t>
  </si>
  <si>
    <t># define Rte_Ev_Run_SRV_ComExt_Safety_TaskFast     ((EventMaskType)64uLL)</t>
  </si>
  <si>
    <t># define Rte_Ev_Run_SRV_TKM_ZvCrH_TKM_ZvCrH_SSP_Bap_Indication_NKeyInCarMutualAuth_BAP_Acknowledge     ((EventMaskType)256uLL)</t>
  </si>
  <si>
    <t># define Rte_Ev_Run_SRV_TKM_ZvCrH_TKM_ZvCrH_SSP_Bap_Indication_NKeyInCarMutualAuth_BAP_IndicationByteSequence     ((EventMaskType)512uLL)</t>
  </si>
  <si>
    <t># define Rte_Ev_Run_SRV_TKM_ZvCrH_TKM_ZvCrH_SSP_Bap_Indication_NKeyInCarMutualAuth_BAP_IndicationError     ((EventMaskType)1024uLL)</t>
  </si>
  <si>
    <t># define Rte_Ev_Run_SRV_TKM_ZvCrH_TKM_ZvCrH_SSP_Bap_Indication_NKeyOv_BAP_Acknowledge     ((EventMaskType)2048uLL)</t>
  </si>
  <si>
    <t># define Rte_Ev_Run_SRV_TKM_ZvCrH_TKM_ZvCrH_SSP_Bap_Indication_NKeyOv_BAP_IndicationByteSequence     ((EventMaskType)4096uLL)</t>
  </si>
  <si>
    <t># define Rte_Ev_Run_SRV_TKM_ZvCrH_TKM_ZvCrH_SSP_Bap_Indication_NKeyOv_BAP_IndicationError     ((EventMaskType)8192uLL)</t>
  </si>
  <si>
    <t># define Rte_Ev_Run_WdgMExt_OsTask_Comm_EventPeriodic_Wdgm_Checkpoint_50ms     ((EventMaskType)16uLL)</t>
  </si>
  <si>
    <t># define  E_HMI_GUI_MSG_QUEUE  ((EventMaskType)8uLL)</t>
  </si>
  <si>
    <t># define  OsEvent_BuffersSwapped  ((EventMaskType)16uLL)</t>
  </si>
  <si>
    <t># define  OsEvent_DrawReq  ((EventMaskType)32uLL)</t>
  </si>
  <si>
    <t># define  OsEvent_HmiGetwayDataReady  ((EventMaskType)64uLL)</t>
  </si>
  <si>
    <t># define  OsEvent_InputCapture  ((EventMaskType)128uLL)</t>
  </si>
  <si>
    <t># define  OsEvent_RdrMgrSyncEnd  ((EventMaskType)256uLL)</t>
  </si>
  <si>
    <t># define  OsEvent_RdrSync  ((EventMaskType)512uLL)</t>
  </si>
  <si>
    <t># define  OsEvent_ReDrawReq  ((EventMaskType)1024uLL)</t>
  </si>
  <si>
    <t># define  E_HMI_APP_MSG_QUEUE  ((EventMaskType)1uLL)</t>
  </si>
  <si>
    <t># define  E_HMI_DP_MSG_QUEUE  ((EventMaskType)2uLL)</t>
  </si>
  <si>
    <t># define  E_HMI_Ready  ((EventMaskType)4uLL)</t>
  </si>
  <si>
    <t>Shutdown Hook</t>
  </si>
  <si>
    <t>OsCfgShutdownHook()</t>
  </si>
  <si>
    <t>EcuM_Shutdown()</t>
  </si>
  <si>
    <t>User Protection Hook</t>
  </si>
  <si>
    <t>OsCfgProtectionHook(x)</t>
  </si>
  <si>
    <t>PRO_SHUTDOWN</t>
  </si>
  <si>
    <t>Self Test check Hook Function</t>
  </si>
  <si>
    <t>OsCfgCheckSelfTest()</t>
  </si>
  <si>
    <t>SELF_TEST_ACTIVE</t>
  </si>
  <si>
    <t>SRV_EcuMExt_OnEnterRun_Safe</t>
  </si>
  <si>
    <t>SRV_EcuMExt_ExitRunGotoSleep_Safe</t>
  </si>
  <si>
    <t>SRV_EcuMExt_OnEnterSleep_Safe</t>
  </si>
  <si>
    <t>SRV_EcuMExt_OnExitPostRun_Safe</t>
  </si>
  <si>
    <t>osCallISRHooks_BACKUP</t>
  </si>
  <si>
    <t>osCallISRHooks_SCB1</t>
  </si>
  <si>
    <t>osCallISRHooks_PDMA48</t>
  </si>
  <si>
    <t>osCallISRHooks_PDMA49</t>
  </si>
  <si>
    <t>osCallISRHooks_PDMA50</t>
  </si>
  <si>
    <t>osCallISRHooks_PDMA51</t>
  </si>
  <si>
    <t>osCallISRHooks_PDMA52</t>
  </si>
  <si>
    <t>osCallISRHooks_cpuss_interrupts_ipc_6_IRQn</t>
  </si>
  <si>
    <t>osCallISRHooks_ISR_GFX2D</t>
  </si>
  <si>
    <t>osCallISRHooks_ISR_VIDEOIO_0</t>
  </si>
  <si>
    <t>osCallISRHooks_ISR_VIDEOIO_1</t>
  </si>
  <si>
    <t>osCallISRHooks_ISR_IMMO_TIMER1</t>
  </si>
  <si>
    <t>osCallISRHooks_ISR_IMMO_TIMER2</t>
  </si>
  <si>
    <t>osCallISRHooks_ISR_IMMO_ICU1</t>
  </si>
  <si>
    <t>osCallISRHooks_ISR_PDMA22</t>
  </si>
  <si>
    <t>osCallISRHooks_ISR_MDMA1</t>
  </si>
  <si>
    <t>osCallISRHooks_ISR_MDMA2</t>
  </si>
  <si>
    <t>osCallISRHooks_ISR_IMMO_1MS_TASK</t>
  </si>
  <si>
    <t>osCallISRHooks_ISR_IMMO_5MS_TASK</t>
  </si>
  <si>
    <t>osCallISRHooks_CAN0_WAKEUP_ISR</t>
  </si>
  <si>
    <t>osCallISRHooks_GPT_ISR_1_25MS</t>
  </si>
  <si>
    <t>ISR_VIDEOIO_1_SAFETY</t>
  </si>
  <si>
    <t>CyFssig_Display_Isr_Cat2</t>
  </si>
  <si>
    <t>osCallISRHooks_ISR_VIDEOIO_1_SAFETY</t>
  </si>
  <si>
    <t>Rte_Ev_Cyclic2_OsTask_Bsw_EventPeriodic_1_10ms</t>
  </si>
  <si>
    <t>Rte_Al_TE2_OsTask_Bsw_EventPeriodic_1_10ms</t>
  </si>
  <si>
    <t>Rte_Ev_Cyclic2_OsTask_Bsw_EventPeriodic_4_10ms</t>
  </si>
  <si>
    <t>Rte_Al_TE2_OsTask_Bsw_EventPeriodic_4_10ms</t>
  </si>
  <si>
    <t>Rte_Ev_Cyclic2_OsTask_Comm_EventPeriodic_1_10ms</t>
  </si>
  <si>
    <t>Rte_Al_TE2_OsTask_Comm_EventPeriodic_1_10ms</t>
  </si>
  <si>
    <t>Rte_Ev_Cyclic2_OsTask_Comm_EventPeriodic_3_10ms</t>
  </si>
  <si>
    <t>Rte_Al_TE2_OsTask_Comm_EventPeriodic_3_10ms</t>
  </si>
  <si>
    <t>Rte_Ev_Run_CTRL_Diag_Task</t>
  </si>
  <si>
    <t>Rte_Al_TE_CTRL_Diag_Task</t>
  </si>
  <si>
    <t>Rte_Ev_Run_ComMExt_ComMExt_Impl_MainFunction</t>
  </si>
  <si>
    <t>Rte_Al_TE_ComMExt_ComMExt_Impl_MainFunction</t>
  </si>
  <si>
    <t>Rte_Ev_Run_EcuM_EcuM_MainFunction</t>
  </si>
  <si>
    <t>Rte_Al_TE_EcuM_EcuM_MainFunction</t>
  </si>
  <si>
    <t>Rte_Ev_Run_I2c_I2c_MainFunction</t>
  </si>
  <si>
    <t>Rte_Al_TE_I2c_I2c_MainFunction</t>
  </si>
  <si>
    <t>Rte_Ev_Run_MDL_Display_ProcessWarningsConfirmation</t>
  </si>
  <si>
    <t>Rte_Al_TE_MDL_Display_ProcessWarningsConfirmation</t>
  </si>
  <si>
    <t>Rte_Ev_Run_MDL_Display_Task</t>
  </si>
  <si>
    <t>Rte_Al_TE_MDL_Display_Task</t>
  </si>
  <si>
    <t>Rte_Ev_Run_MDL_HMIGW_TaskFast</t>
  </si>
  <si>
    <t>Rte_Al_TE_MDL_HMIGW_TaskFast</t>
  </si>
  <si>
    <t>Rte_Ev_Run_MDL_Motor_Task</t>
  </si>
  <si>
    <t>Rte_Al_TE_MDL_Motor_Task</t>
  </si>
  <si>
    <t>Rte_Ev_Run1_MDL_Sfd_RE_MainFunction</t>
  </si>
  <si>
    <t>Rte_Al_TE_MDL_Sfd_RE_MainFunction</t>
  </si>
  <si>
    <t>Rte_Ev_Run_MDL_Speed_Task</t>
  </si>
  <si>
    <t>Rte_Al_TE_MDL_Speed_Task</t>
  </si>
  <si>
    <t>Rte_Ev_Run_MDL_TRC_Task</t>
  </si>
  <si>
    <t>Rte_Al_TE_MDL_TRC_Task</t>
  </si>
  <si>
    <t>Rte_Ev_Run_MDL_Tank_Task_CAN</t>
  </si>
  <si>
    <t>Rte_Al_TE_MDL_Tank_Task_CAN</t>
  </si>
  <si>
    <t>Rte_Ev_Cyclic_OsTask_Bsw_EventPeriodic_4_10ms</t>
  </si>
  <si>
    <t>Rte_Al_TE_OsTask_Bsw_EventPeriodic_4_10ms</t>
  </si>
  <si>
    <t>Rte_Ev_Cyclic_OsTask_Bsw_EventPeriodic_6_10ms</t>
  </si>
  <si>
    <t>Rte_Al_TE_OsTask_Bsw_EventPeriodic_6_10ms</t>
  </si>
  <si>
    <t>Rte_Ev_Cyclic_OsTask_SWCEventPeriodic_1_6_10ms</t>
  </si>
  <si>
    <t>Rte_Al_TE_OsTask_SWCEventPeriodic_1_6_10ms</t>
  </si>
  <si>
    <t>Rte_Ev_Cyclic_OsTask_SWCEventPeriodic_2_7_20ms</t>
  </si>
  <si>
    <t>Rte_Al_TE_OsTask_SWCEventPeriodic_2_7_20ms</t>
  </si>
  <si>
    <t>Rte_Ev_Cyclic_OsTask_SWCEventPeriodic_3_0_10ms</t>
  </si>
  <si>
    <t>Rte_Al_TE_OsTask_SWCEventPeriodic_3_0_10ms</t>
  </si>
  <si>
    <t>Rte_Ev_Cyclic_OsTask_SWCEventPeriodic_3_2_10ms</t>
  </si>
  <si>
    <t>Rte_Al_TE_OsTask_SWCEventPeriodic_3_2_10ms</t>
  </si>
  <si>
    <t>Rte_Ev_Cyclic_OsTask_SWCEventPeriodic_3_4_10ms</t>
  </si>
  <si>
    <t>Rte_Al_TE_OsTask_SWCEventPeriodic_3_4_10ms</t>
  </si>
  <si>
    <t>Rte_Ev_Cyclic_OsTask_SWCEventPeriodic_3_6_10ms</t>
  </si>
  <si>
    <t>Rte_Al_TE_OsTask_SWCEventPeriodic_3_6_10ms</t>
  </si>
  <si>
    <t>Rte_Ev_Cyclic_OsTask_SWCEventPeriodic_4_11_100ms</t>
  </si>
  <si>
    <t>Rte_Al_TE_OsTask_SWCEventPeriodic_4_11_100ms</t>
  </si>
  <si>
    <t>Rte_Ev_Cyclic_OsTask_SWCEventPeriodic_4_3_50ms</t>
  </si>
  <si>
    <t>Rte_Al_TE_OsTask_SWCEventPeriodic_4_3_50ms</t>
  </si>
  <si>
    <t>Rte_Ev_Cyclic_OsTask_SWCEventPeriodic_4_7_100ms</t>
  </si>
  <si>
    <t>Rte_Al_TE_OsTask_SWCEventPeriodic_4_7_100ms</t>
  </si>
  <si>
    <t>Rte_Ev_Cyclic_OsTask_SWCEvent_4_1_10ms</t>
  </si>
  <si>
    <t>Rte_Al_TE_OsTask_SWCEvent_4_1_10ms</t>
  </si>
  <si>
    <t>Rte_Ev_Cyclic_OsTask_SWCEvent_4_2_10ms</t>
  </si>
  <si>
    <t>Rte_Al_TE_OsTask_SWCEvent_4_2_10ms</t>
  </si>
  <si>
    <t>Rte_Ev_Cyclic_OsTask_SWCEvent_4_8_20ms</t>
  </si>
  <si>
    <t>Rte_Al_TE_OsTask_SWCEvent_4_8_20ms</t>
  </si>
  <si>
    <t>Rte_Ev_Cyclic_OsTask_SWC_10ms_1_10ms</t>
  </si>
  <si>
    <t>Rte_Al_TE_OsTask_SWC_10ms_1_10ms</t>
  </si>
  <si>
    <t>Rte_Ev_Cyclic_OsTask_SWC_10ms_2_10ms</t>
  </si>
  <si>
    <t>Rte_Al_TE_OsTask_SWC_10ms_2_10ms</t>
  </si>
  <si>
    <t>Rte_Ev_Cyclic_OsTask_SWC_10ms_4_10ms</t>
  </si>
  <si>
    <t>Rte_Al_TE_OsTask_SWC_10ms_4_10ms</t>
  </si>
  <si>
    <t>Rte_Ev_Cyclic_OsTask_SWC_50ms_100ms_13_100ms</t>
  </si>
  <si>
    <t>Rte_Al_TE_OsTask_SWC_50ms_100ms_13_100ms</t>
  </si>
  <si>
    <t>Rte_Ev_Cyclic_OsTask_SWC_50ms_100ms_3_100ms</t>
  </si>
  <si>
    <t>Rte_Al_TE_OsTask_SWC_50ms_100ms_3_100ms</t>
  </si>
  <si>
    <t>Rte_Ev_Cyclic_OsTask_SWC_50ms_100ms_7_50ms</t>
  </si>
  <si>
    <t>Rte_Al_TE_OsTask_SWC_50ms_100ms_7_50ms</t>
  </si>
  <si>
    <t>Rte_Ev_Cyclic_OsTask_SafeSWCEventPeriodic_0_2_50ms</t>
  </si>
  <si>
    <t>Rte_Al_TE_OsTask_SafeSWCEventPeriodic_0_2_50ms</t>
  </si>
  <si>
    <t>Rte_Ev_Cyclic_OsTask_SafeSWCEventPeriodic_0_6_10ms</t>
  </si>
  <si>
    <t>Rte_Al_TE_OsTask_SafeSWCEventPeriodic_0_6_10ms</t>
  </si>
  <si>
    <t>Rte_Ev_Run_SRV_ComExt_TaskSlow</t>
  </si>
  <si>
    <t>Rte_Al_TE_SRV_ComExt_TaskSlow</t>
  </si>
  <si>
    <t>Rte_Ev_Run_SysTst_SafeSWCEventPeriodic_0_Checkpoint</t>
  </si>
  <si>
    <t>Rte_Al_TE_SysTst_SafeSWCEventPeriodic_0_Checkpoint</t>
  </si>
  <si>
    <t>Rte_Ev_Run_WdgMExt_OsTask_SWC_10ms_Wdgm_Checkpoint_10ms</t>
  </si>
  <si>
    <t>Rte_Al_TE_WdgMExt_OsTask_SWC_10ms_Wdgm_Checkpoint_10ms</t>
  </si>
  <si>
    <t>Rte_Ev_TO_OsTask_SWCEvent_5</t>
  </si>
  <si>
    <t>Rte_Al_TO_OsTask_SWCEvent_5</t>
  </si>
  <si>
    <t xml:space="preserve">  Rte_Al_TE2_OsTask_Bsw_EventPeriodic_1_10ms = 1,  /* PRQA S 0784 */ /* MD_Os_Rule5.5_0784 */</t>
  </si>
  <si>
    <t xml:space="preserve">  Rte_Al_TE2_OsTask_Bsw_EventPeriodic_4_10ms = 2,  /* PRQA S 0784 */ /* MD_Os_Rule5.5_0784 */</t>
  </si>
  <si>
    <t xml:space="preserve">  Rte_Al_TE2_OsTask_Comm_EventPeriodic_1_10ms = 3,  /* PRQA S 0784 */ /* MD_Os_Rule5.5_0784 */</t>
  </si>
  <si>
    <t xml:space="preserve">  Rte_Al_TE2_OsTask_Comm_EventPeriodic_3_10ms = 4,  /* PRQA S 0784 */ /* MD_Os_Rule5.5_0784 */</t>
  </si>
  <si>
    <t xml:space="preserve">  Rte_Al_TE_CBacklightCdd_CBacklightCdd_Impl_MainFunction = 5,  /* PRQA S 0784 */ /* MD_Os_Rule5.5_0784 */</t>
  </si>
  <si>
    <t xml:space="preserve">  Rte_Al_TE_CDisplayCdd_CDisplayCdd_Impl_MainFunction = 6,  /* PRQA S 0784 */ /* MD_Os_Rule5.5_0784 */</t>
  </si>
  <si>
    <t xml:space="preserve">  Rte_Al_TE_CTRL_App_Task = 7,  /* PRQA S 0784 */ /* MD_Os_Rule5.5_0784 */</t>
  </si>
  <si>
    <t xml:space="preserve">  Rte_Al_TE_CTRL_Diag_Task = 8,  /* PRQA S 0784 */ /* MD_Os_Rule5.5_0784 */</t>
  </si>
  <si>
    <t xml:space="preserve">  Rte_Al_TE_CTRL_EOL_Task = 9,  /* PRQA S 0784 */ /* MD_Os_Rule5.5_0784 */</t>
  </si>
  <si>
    <t xml:space="preserve">  Rte_Al_TE_CTRL_Warning_Task = 10,  /* PRQA S 0784 */ /* MD_Os_Rule5.5_0784 */</t>
  </si>
  <si>
    <t xml:space="preserve">  Rte_Al_TE_CTempMonCdd_CTempMonCdd_Impl_MainFunction = 11,  /* PRQA S 0784 */ /* MD_Os_Rule5.5_0784 */</t>
  </si>
  <si>
    <t xml:space="preserve">  Rte_Al_TE_CXDR_GFX_Hmi_Timer_Task = 12,  /* PRQA S 0784 */ /* MD_Os_Rule5.5_0784 */</t>
  </si>
  <si>
    <t xml:space="preserve">  Rte_Al_TE_CanTp_CanTp_MainFunction = 13,  /* PRQA S 0784 */ /* MD_Os_Rule5.5_0784 */</t>
  </si>
  <si>
    <t xml:space="preserve">  Rte_Al_TE_ComMExt_ComMExt_Impl_MainFunction = 14,  /* PRQA S 0784 */ /* MD_Os_Rule5.5_0784 */</t>
  </si>
  <si>
    <t xml:space="preserve">  Rte_Al_TE_EcuM_EcuM_MainFunction = 15,  /* PRQA S 0784 */ /* MD_Os_Rule5.5_0784 */</t>
  </si>
  <si>
    <t xml:space="preserve">  Rte_Al_TE_I2c_I2c_MainFunction = 16,  /* PRQA S 0784 */ /* MD_Os_Rule5.5_0784 */</t>
  </si>
  <si>
    <t xml:space="preserve">  Rte_Al_TE_IoCtrl_IoCtrl_MainFunction = 17,  /* PRQA S 0784 */ /* MD_Os_Rule5.5_0784 */</t>
  </si>
  <si>
    <t xml:space="preserve">  Rte_Al_TE_IoCtrl_IoCtrl_StackMeasure = 18,  /* PRQA S 0784 */ /* MD_Os_Rule5.5_0784 */</t>
  </si>
  <si>
    <t xml:space="preserve">  Rte_Al_TE_IvdShA_Ivd_MainFunction = 19,  /* PRQA S 0784 */ /* MD_Os_Rule5.5_0784 */</t>
  </si>
  <si>
    <t xml:space="preserve">  Rte_Al_TE_MDL_BCCT_Task = 20,  /* PRQA S 0784 */ /* MD_Os_Rule5.5_0784 */</t>
  </si>
  <si>
    <t xml:space="preserve">  Rte_Al_TE_MDL_CarHandling_Task = 21,  /* PRQA S 0784 */ /* MD_Os_Rule5.5_0784 */</t>
  </si>
  <si>
    <t xml:space="preserve">  Rte_Al_TE_MDL_CarLeaving_Task = 22,  /* PRQA S 0784 */ /* MD_Os_Rule5.5_0784 */</t>
  </si>
  <si>
    <t xml:space="preserve">  Rte_Al_TE_MDL_Clock_Update_Task = 23,  /* PRQA S 0784 */ /* MD_Os_Rule5.5_0784 */</t>
  </si>
  <si>
    <t xml:space="preserve">  Rte_Al_TE_MDL_Cruise_Task = 24,  /* PRQA S 0784 */ /* MD_Os_Rule5.5_0784 */</t>
  </si>
  <si>
    <t xml:space="preserve">  Rte_Al_TE_MDL_Display_ProcessWarningsConfirmation = 25,  /* PRQA S 0784 */ /* MD_Os_Rule5.5_0784 */</t>
  </si>
  <si>
    <t xml:space="preserve">  Rte_Al_TE_MDL_Display_Task = 26,  /* PRQA S 0784 */ /* MD_Os_Rule5.5_0784 */</t>
  </si>
  <si>
    <t xml:space="preserve">  Rte_Al_TE_MDL_HMIGW_TaskFast = 27,  /* PRQA S 0784 */ /* MD_Os_Rule5.5_0784 */</t>
  </si>
  <si>
    <t xml:space="preserve">  Rte_Al_TE_MDL_Heater_Task = 28,  /* PRQA S 0784 */ /* MD_Os_Rule5.5_0784 */</t>
  </si>
  <si>
    <t xml:space="preserve">  Rte_Al_TE_MDL_InternTemp_Task = 29,  /* PRQA S 0784 */ /* MD_Os_Rule5.5_0784 */</t>
  </si>
  <si>
    <t xml:space="preserve">  Rte_Al_TE_MDL_Motor_Task = 30,  /* PRQA S 0784 */ /* MD_Os_Rule5.5_0784 */</t>
  </si>
  <si>
    <t xml:space="preserve">  Rte_Al_TE_MDL_Service_Task = 31,  /* PRQA S 0784 */ /* MD_Os_Rule5.5_0784 */</t>
  </si>
  <si>
    <t xml:space="preserve">  Rte_Al_TE_MDL_Sfd_RE_MainFunction = 32,  /* PRQA S 0784 */ /* MD_Os_Rule5.5_0784 */</t>
  </si>
  <si>
    <t xml:space="preserve">  Rte_Al_TE_MDL_SiWaLa_Task = 33,  /* PRQA S 0784 */ /* MD_Os_Rule5.5_0784 */</t>
  </si>
  <si>
    <t xml:space="preserve">  Rte_Al_TE_MDL_Speed_Task = 34,  /* PRQA S 0784 */ /* MD_Os_Rule5.5_0784 */</t>
  </si>
  <si>
    <t xml:space="preserve">  Rte_Al_TE_MDL_TRC_Task = 35,  /* PRQA S 0784 */ /* MD_Os_Rule5.5_0784 */</t>
  </si>
  <si>
    <t xml:space="preserve">  Rte_Al_TE_MDL_Tank_Task = 36,  /* PRQA S 0784 */ /* MD_Os_Rule5.5_0784 */</t>
  </si>
  <si>
    <t xml:space="preserve">  Rte_Al_TE_MDL_Tank_Task_CAN = 37,  /* PRQA S 0784 */ /* MD_Os_Rule5.5_0784 */</t>
  </si>
  <si>
    <t xml:space="preserve">  Rte_Al_TE_MDL_Tank_Task_Sampling = 38,  /* PRQA S 0784 */ /* MD_Os_Rule5.5_0784 */</t>
  </si>
  <si>
    <t xml:space="preserve">  Rte_Al_TE_MDL_VehicleType_Task = 39,  /* PRQA S 0784 */ /* MD_Os_Rule5.5_0784 */</t>
  </si>
  <si>
    <t xml:space="preserve">  Rte_Al_TE_NvMExt_NvMExt_SpeedupRunnable = 40,  /* PRQA S 0784 */ /* MD_Os_Rule5.5_0784 */</t>
  </si>
  <si>
    <t xml:space="preserve">  Rte_Al_TE_OsTask_BswCtrl_EventPeriodic_0_10ms = 41,  /* PRQA S 0784 */ /* MD_Os_Rule5.5_0784 */</t>
  </si>
  <si>
    <t xml:space="preserve">  Rte_Al_TE_OsTask_Bsw_EventPeriodic_2_10ms = 42,  /* PRQA S 0784 */ /* MD_Os_Rule5.5_0784 */</t>
  </si>
  <si>
    <t xml:space="preserve">  Rte_Al_TE_OsTask_Bsw_EventPeriodic_4_10ms = 43,  /* PRQA S 0784 */ /* MD_Os_Rule5.5_0784 */</t>
  </si>
  <si>
    <t xml:space="preserve">  Rte_Al_TE_OsTask_Bsw_EventPeriodic_6_10ms = 44,  /* PRQA S 0784 */ /* MD_Os_Rule5.5_0784 */</t>
  </si>
  <si>
    <t xml:space="preserve">  Rte_Al_TE_OsTask_Cdd_EventPeriodic_0_0_10ms = 45,  /* PRQA S 0784 */ /* MD_Os_Rule5.5_0784 */</t>
  </si>
  <si>
    <t xml:space="preserve">  Rte_Al_TE_OsTask_SWCEventPeriodic_1_2_10ms = 46,  /* PRQA S 0784 */ /* MD_Os_Rule5.5_0784 */</t>
  </si>
  <si>
    <t xml:space="preserve">  Rte_Al_TE_OsTask_SWCEventPeriodic_1_6_10ms = 47,  /* PRQA S 0784 */ /* MD_Os_Rule5.5_0784 */</t>
  </si>
  <si>
    <t xml:space="preserve">  Rte_Al_TE_OsTask_SWCEventPeriodic_2_7_20ms = 48,  /* PRQA S 0784 */ /* MD_Os_Rule5.5_0784 */</t>
  </si>
  <si>
    <t xml:space="preserve">  Rte_Al_TE_OsTask_SWCEventPeriodic_3_0_10ms = 49,  /* PRQA S 0784 */ /* MD_Os_Rule5.5_0784 */</t>
  </si>
  <si>
    <t xml:space="preserve">  Rte_Al_TE_OsTask_SWCEventPeriodic_3_2_10ms = 50,  /* PRQA S 0784 */ /* MD_Os_Rule5.5_0784 */</t>
  </si>
  <si>
    <t xml:space="preserve">  Rte_Al_TE_OsTask_SWCEventPeriodic_3_4_10ms = 51,  /* PRQA S 0784 */ /* MD_Os_Rule5.5_0784 */</t>
  </si>
  <si>
    <t xml:space="preserve">  Rte_Al_TE_OsTask_SWCEventPeriodic_3_6_10ms = 52,  /* PRQA S 0784 */ /* MD_Os_Rule5.5_0784 */</t>
  </si>
  <si>
    <t xml:space="preserve">  Rte_Al_TE_OsTask_SWCEventPeriodic_4_11_100ms = 53,  /* PRQA S 0784 */ /* MD_Os_Rule5.5_0784 */</t>
  </si>
  <si>
    <t xml:space="preserve">  Rte_Al_TE_OsTask_SWCEventPeriodic_4_3_50ms = 54,  /* PRQA S 0784 */ /* MD_Os_Rule5.5_0784 */</t>
  </si>
  <si>
    <t xml:space="preserve">  Rte_Al_TE_OsTask_SWCEventPeriodic_4_7_100ms = 55,  /* PRQA S 0784 */ /* MD_Os_Rule5.5_0784 */</t>
  </si>
  <si>
    <t xml:space="preserve">  Rte_Al_TE_OsTask_SWCEvent_4_1_10ms = 56,  /* PRQA S 0784 */ /* MD_Os_Rule5.5_0784 */</t>
  </si>
  <si>
    <t xml:space="preserve">  Rte_Al_TE_OsTask_SWCEvent_4_2_10ms = 57,  /* PRQA S 0784 */ /* MD_Os_Rule5.5_0784 */</t>
  </si>
  <si>
    <t xml:space="preserve">  Rte_Al_TE_OsTask_SWCEvent_4_8_20ms = 58,  /* PRQA S 0784 */ /* MD_Os_Rule5.5_0784 */</t>
  </si>
  <si>
    <t xml:space="preserve">  Rte_Al_TE_OsTask_SWC_10ms_1_10ms = 59,  /* PRQA S 0784 */ /* MD_Os_Rule5.5_0784 */</t>
  </si>
  <si>
    <t xml:space="preserve">  Rte_Al_TE_OsTask_SWC_10ms_2_10ms = 60,  /* PRQA S 0784 */ /* MD_Os_Rule5.5_0784 */</t>
  </si>
  <si>
    <t xml:space="preserve">  Rte_Al_TE_OsTask_SWC_10ms_4_10ms = 61,  /* PRQA S 0784 */ /* MD_Os_Rule5.5_0784 */</t>
  </si>
  <si>
    <t xml:space="preserve">  Rte_Al_TE_OsTask_SWC_10ms_6_10ms = 62,  /* PRQA S 0784 */ /* MD_Os_Rule5.5_0784 */</t>
  </si>
  <si>
    <t xml:space="preserve">  Rte_Al_TE_OsTask_SWC_50ms_100ms_13_100ms = 63,  /* PRQA S 0784 */ /* MD_Os_Rule5.5_0784 */</t>
  </si>
  <si>
    <t xml:space="preserve">  Rte_Al_TE_OsTask_SWC_50ms_100ms_3_100ms = 64,  /* PRQA S 0784 */ /* MD_Os_Rule5.5_0784 */</t>
  </si>
  <si>
    <t xml:space="preserve">  Rte_Al_TE_OsTask_SWC_50ms_100ms_7_50ms = 65,  /* PRQA S 0784 */ /* MD_Os_Rule5.5_0784 */</t>
  </si>
  <si>
    <t xml:space="preserve">  Rte_Al_TE_OsTask_SafeBsw_1_0_10ms = 66,  /* PRQA S 0784 */ /* MD_Os_Rule5.5_0784 */</t>
  </si>
  <si>
    <t xml:space="preserve">  Rte_Al_TE_OsTask_SafeBsw_1_6_10ms = 67,  /* PRQA S 0784 */ /* MD_Os_Rule5.5_0784 */</t>
  </si>
  <si>
    <t xml:space="preserve">  Rte_Al_TE_OsTask_SafeSWCEventPeriodic_0_2_10ms = 68,  /* PRQA S 0784 */ /* MD_Os_Rule5.5_0784 */</t>
  </si>
  <si>
    <t xml:space="preserve">  Rte_Al_TE_OsTask_SafeSWCEventPeriodic_0_2_50ms = 69,  /* PRQA S 0784 */ /* MD_Os_Rule5.5_0784 */</t>
  </si>
  <si>
    <t xml:space="preserve">  Rte_Al_TE_OsTask_SafeSWCEventPeriodic_0_4_10ms = 70,  /* PRQA S 0784 */ /* MD_Os_Rule5.5_0784 */</t>
  </si>
  <si>
    <t xml:space="preserve">  Rte_Al_TE_OsTask_SafeSWCEventPeriodic_0_6_10ms = 71,  /* PRQA S 0784 */ /* MD_Os_Rule5.5_0784 */</t>
  </si>
  <si>
    <t xml:space="preserve">  Rte_Al_TE_OsTask_SecSysPeriodic_2_10ms = 72,  /* PRQA S 0784 */ /* MD_Os_Rule5.5_0784 */</t>
  </si>
  <si>
    <t xml:space="preserve">  Rte_Al_TE_PowerCdd_PowerCdd_MainFunction = 73,  /* PRQA S 0784 */ /* MD_Os_Rule5.5_0784 */</t>
  </si>
  <si>
    <t xml:space="preserve">  Rte_Al_TE_PowerCdd_PowerCdd_StateTransistionProcess = 74,  /* PRQA S 0784 */ /* MD_Os_Rule5.5_0784 */</t>
  </si>
  <si>
    <t xml:space="preserve">  Rte_Al_TE_SRV_ComExt_Safety_TaskFast = 75,  /* PRQA S 0784 */ /* MD_Os_Rule5.5_0784 */</t>
  </si>
  <si>
    <t xml:space="preserve">  Rte_Al_TE_SRV_ComExt_Task50ms = 76,  /* PRQA S 0784 */ /* MD_Os_Rule5.5_0784 */</t>
  </si>
  <si>
    <t xml:space="preserve">  Rte_Al_TE_SRV_ComExt_TaskSlow = 77,  /* PRQA S 0784 */ /* MD_Os_Rule5.5_0784 */</t>
  </si>
  <si>
    <t xml:space="preserve">  Rte_Al_TE_SRV_CsmH_Task = 78,  /* PRQA S 0784 */ /* MD_Os_Rule5.5_0784 */</t>
  </si>
  <si>
    <t xml:space="preserve">  Rte_Al_TE_SRV_NvMExt_Task = 79,  /* PRQA S 0784 */ /* MD_Os_Rule5.5_0784 */</t>
  </si>
  <si>
    <t xml:space="preserve">  Rte_Al_TE_SRV_WdgM_Checkpoint_Monitor = 80,  /* PRQA S 0784 */ /* MD_Os_Rule5.5_0784 */</t>
  </si>
  <si>
    <t xml:space="preserve">  Rte_Al_TE_SRV_WdgM_Task = 81,  /* PRQA S 0784 */ /* MD_Os_Rule5.5_0784 */</t>
  </si>
  <si>
    <t xml:space="preserve">  Rte_Al_TE_SafeBsw_OsTask_SafeSWCEventPeriodic_0_Wdgm_Checkpoint_5ms = 82,  /* PRQA S 0784 */ /* MD_Os_Rule5.5_0784 */</t>
  </si>
  <si>
    <t xml:space="preserve">  Rte_Al_TE_SndCdd_CSndCdd_Impl_MainFunction = 83,  /* PRQA S 0784 */ /* MD_Os_Rule5.5_0784 */</t>
  </si>
  <si>
    <t xml:space="preserve">  Rte_Al_TE_SndCdd_CSndCdd_ToneProcess = 84,  /* PRQA S 0784 */ /* MD_Os_Rule5.5_0784 */</t>
  </si>
  <si>
    <t xml:space="preserve">  Rte_Al_TE_SokFm_SokFm_MainFunction = 85,  /* PRQA S 0784 */ /* MD_Os_Rule5.5_0784 */</t>
  </si>
  <si>
    <t xml:space="preserve">  Rte_Al_TE_SysTst_SafeSWCEventPeriodic_0_Checkpoint = 86,  /* PRQA S 0784 */ /* MD_Os_Rule5.5_0784 */</t>
  </si>
  <si>
    <t xml:space="preserve">  Rte_Al_TE_VIEW_Sound_Task = 87,  /* PRQA S 0784 */ /* MD_Os_Rule5.5_0784 */</t>
  </si>
  <si>
    <t xml:space="preserve">  Rte_Al_TE_WdgMExt_OsTask_Comm_EventPeriodic_Wdgm_Checkpoint_50ms = 88,  /* PRQA S 0784 */ /* MD_Os_Rule5.5_0784 */</t>
  </si>
  <si>
    <t xml:space="preserve">  Rte_Al_TE_WdgMExt_OsTask_SWCEventPeriodic_0_Wdgm_Checkpoint_100ms = 89,  /* PRQA S 0784 */ /* MD_Os_Rule5.5_0784 */</t>
  </si>
  <si>
    <t xml:space="preserve">  Rte_Al_TE_WdgMExt_OsTask_SWCEventPeriodic_2_Wdgm_Checkpoint_100ms = 90,  /* PRQA S 0784 */ /* MD_Os_Rule5.5_0784 */</t>
  </si>
  <si>
    <t xml:space="preserve">  Rte_Al_TE_WdgMExt_OsTask_SWCEventPeriodic_2_Wdgm_Checkpoint_50ms = 91,  /* PRQA S 0784 */ /* MD_Os_Rule5.5_0784 */</t>
  </si>
  <si>
    <t xml:space="preserve">  Rte_Al_TE_WdgMExt_OsTask_SWC_10ms_Wdgm_Checkpoint_10ms = 92,  /* PRQA S 0784 */ /* MD_Os_Rule5.5_0784 */</t>
  </si>
  <si>
    <t xml:space="preserve">  Rte_Al_TE_WdgMExt_OsTask_SWC_50ms_100ms_Wdgm_Checkpoint_50ms = 93,  /* PRQA S 0784 */ /* MD_Os_Rule5.5_0784 */</t>
  </si>
  <si>
    <t xml:space="preserve">  Rte_Al_TO_OsTask_SWCEvent_5 = 94,  /* PRQA S 0784 */ /* MD_Os_Rule5.5_0784 */</t>
  </si>
  <si>
    <t># define Rte_Ev_Cyclic2_OsTask_Bsw_EventPeriodic_1_10ms     ((EventMaskType)1uLL)</t>
  </si>
  <si>
    <t># define Rte_Ev_Cyclic2_OsTask_Bsw_EventPeriodic_4_10ms     ((EventMaskType)2uLL)</t>
  </si>
  <si>
    <t># define Rte_Ev_Cyclic2_OsTask_Comm_EventPeriodic_1_10ms     ((EventMaskType)1uLL)</t>
  </si>
  <si>
    <t># define Rte_Ev_Cyclic2_OsTask_Comm_EventPeriodic_3_10ms     ((EventMaskType)2uLL)</t>
  </si>
  <si>
    <t># define Rte_Ev_Cyclic_OsTask_Bsw_EventPeriodic_4_10ms     ((EventMaskType)8uLL)</t>
  </si>
  <si>
    <t># define Rte_Ev_Cyclic_OsTask_Bsw_EventPeriodic_6_10ms     ((EventMaskType)16uLL)</t>
  </si>
  <si>
    <t># define Rte_Ev_Cyclic_OsTask_SWCEventPeriodic_1_2_10ms     ((EventMaskType)1uLL)</t>
  </si>
  <si>
    <t># define Rte_Ev_Cyclic_OsTask_SWCEventPeriodic_1_6_10ms     ((EventMaskType)2uLL)</t>
  </si>
  <si>
    <t># define Rte_Ev_Cyclic_OsTask_SWCEventPeriodic_2_7_20ms     ((EventMaskType)1uLL)</t>
  </si>
  <si>
    <t># define Rte_Ev_Cyclic_OsTask_SWCEventPeriodic_3_0_10ms     ((EventMaskType)1uLL)</t>
  </si>
  <si>
    <t># define Rte_Ev_Cyclic_OsTask_SWCEventPeriodic_3_2_10ms     ((EventMaskType)2uLL)</t>
  </si>
  <si>
    <t># define Rte_Ev_Cyclic_OsTask_SWCEventPeriodic_3_4_10ms     ((EventMaskType)4uLL)</t>
  </si>
  <si>
    <t># define Rte_Ev_Cyclic_OsTask_SWCEventPeriodic_3_6_10ms     ((EventMaskType)8uLL)</t>
  </si>
  <si>
    <t># define Rte_Ev_Cyclic_OsTask_SWCEventPeriodic_4_11_100ms     ((EventMaskType)1uLL)</t>
  </si>
  <si>
    <t># define Rte_Ev_Cyclic_OsTask_SWCEventPeriodic_4_3_50ms     ((EventMaskType)2uLL)</t>
  </si>
  <si>
    <t># define Rte_Ev_Cyclic_OsTask_SWCEventPeriodic_4_7_100ms     ((EventMaskType)4uLL)</t>
  </si>
  <si>
    <t># define Rte_Ev_Cyclic_OsTask_SWCEvent_4_1_10ms     ((EventMaskType)1uLL)</t>
  </si>
  <si>
    <t># define Rte_Ev_Cyclic_OsTask_SWCEvent_4_2_10ms     ((EventMaskType)2uLL)</t>
  </si>
  <si>
    <t># define Rte_Ev_Cyclic_OsTask_SWCEvent_4_8_20ms     ((EventMaskType)4uLL)</t>
  </si>
  <si>
    <t># define Rte_Ev_Cyclic_OsTask_SWC_10ms_1_10ms     ((EventMaskType)1uLL)</t>
  </si>
  <si>
    <t># define Rte_Ev_Cyclic_OsTask_SWC_10ms_2_10ms     ((EventMaskType)2uLL)</t>
  </si>
  <si>
    <t># define Rte_Ev_Cyclic_OsTask_SWC_10ms_4_10ms     ((EventMaskType)4uLL)</t>
  </si>
  <si>
    <t># define Rte_Ev_Cyclic_OsTask_SWC_10ms_6_10ms     ((EventMaskType)8uLL)</t>
  </si>
  <si>
    <t># define Rte_Ev_Cyclic_OsTask_SWC_50ms_100ms_13_100ms     ((EventMaskType)1uLL)</t>
  </si>
  <si>
    <t># define Rte_Ev_Cyclic_OsTask_SWC_50ms_100ms_3_100ms     ((EventMaskType)2uLL)</t>
  </si>
  <si>
    <t># define Rte_Ev_Cyclic_OsTask_SWC_50ms_100ms_7_50ms     ((EventMaskType)4uLL)</t>
  </si>
  <si>
    <t># define Rte_Ev_Cyclic_OsTask_SafeSWCEventPeriodic_0_2_10ms     ((EventMaskType)1uLL)</t>
  </si>
  <si>
    <t># define Rte_Ev_Cyclic_OsTask_SafeSWCEventPeriodic_0_2_50ms     ((EventMaskType)2uLL)</t>
  </si>
  <si>
    <t># define Rte_Ev_Cyclic_OsTask_SafeSWCEventPeriodic_0_6_10ms     ((EventMaskType)8uLL)</t>
  </si>
  <si>
    <t># define Rte_Ev_OnEntry_OsTask_SWCEvent_5_BswM_Switch_BswM_SfdaRole_MG_SfdARole_SFDC_NO_ROLE     ((EventMaskType)8uLL)</t>
  </si>
  <si>
    <t># define Rte_Ev_OnEntry_OsTask_SWCEvent_5_BswM_Switch_BswM_SfdaRole_MG_SfdARole_SFD_ROLE_BASIC     ((EventMaskType)16uLL)</t>
  </si>
  <si>
    <t># define Rte_Ev_OnEntry_OsTask_SWCEvent_5_BswM_Switch_BswM_SfdaRole_MG_SfdARole_SFD_ROLE_EPTI     ((EventMaskType)32uLL)</t>
  </si>
  <si>
    <t># define Rte_Ev_OnEntry_OsTask_SWCEvent_5_BswM_Switch_BswM_SfdaRole_MG_SfdARole_SFD_ROLE_EXTENDED     ((EventMaskType)64uLL)</t>
  </si>
  <si>
    <t># define Rte_Ev_OnEntry_OsTask_SWCEvent_5_BswM_Switch_BswM_SfdaRole_MG_SfdARole_SFD_ROLE_OTA     ((EventMaskType)128uLL)</t>
  </si>
  <si>
    <t># define Rte_Ev_OnEntry_OsTask_SWCEvent_5_BswM_Switch_BswM_SfdaRole_MG_SfdARole_SFD_ROLE_PRODUCTION     ((EventMaskType)256uLL)</t>
  </si>
  <si>
    <t># define Rte_Ev_OnEntry_OsTask_SWCEvent_5_BswM_Switch_BswM_SfdaRole_MG_SfdARole_SFD_ROLE_SUPERUSER     ((EventMaskType)512uLL)</t>
  </si>
  <si>
    <t># define Rte_Ev_Run1_IvdShA_Ivd_CurrentMode_PostRun     ((EventMaskType)1024uLL)</t>
  </si>
  <si>
    <t># define Rte_Ev_Run1_IvdShA_Ivd_CurrentMode_Run     ((EventMaskType)2048uLL)</t>
  </si>
  <si>
    <t># define Rte_Ev_Run1_MDL_Sfd_RE_DeInit     ((EventMaskType)4096uLL)</t>
  </si>
  <si>
    <t># define Rte_Ev_Run1_MDL_Sfd_RE_Init     ((EventMaskType)8192uLL)</t>
  </si>
  <si>
    <t># define Rte_Ev_Run1_MDL_Sfd_RE_MainFunction     ((EventMaskType)8uLL)</t>
  </si>
  <si>
    <t># define Rte_Ev_Run_CTRL_App_Task     ((EventMaskType)1uLL)</t>
  </si>
  <si>
    <t># define Rte_Ev_Run_CTRL_Diag_ImgPrepareTask     ((EventMaskType)16384uLL)</t>
  </si>
  <si>
    <t># define Rte_Ev_Run_CTRL_Diag_Task     ((EventMaskType)4uLL)</t>
  </si>
  <si>
    <t># define Rte_Ev_Run_CTRL_EOL_Task     ((EventMaskType)4uLL)</t>
  </si>
  <si>
    <t># define Rte_Ev_Run_CTRL_Warning_Task     ((EventMaskType)8uLL)</t>
  </si>
  <si>
    <t># define Rte_Ev_Run_CXDR_BAP_OnEnterPOSTRUN     ((EventMaskType)32768uLL)</t>
  </si>
  <si>
    <t># define Rte_Ev_Run_CXDR_BAP_OnEnterRUN     ((EventMaskType)65536uLL)</t>
  </si>
  <si>
    <t># define Rte_Ev_Run_CXDR_GFX_AS_CXDR_GFX_Diag_Init     ((EventMaskType)131072uLL)</t>
  </si>
  <si>
    <t># define Rte_Ev_Run_CXDR_GFX_Hmi_Timer_Task     ((EventMaskType)1uLL)</t>
  </si>
  <si>
    <t># define Rte_Ev_Run_CXDR_GFX_OnEnterPOSTRUN     ((EventMaskType)262144uLL)</t>
  </si>
  <si>
    <t># define Rte_Ev_Run_CXDR_GFX_OnEnterRUN     ((EventMaskType)524288uLL)</t>
  </si>
  <si>
    <t># define Rte_Ev_Run_CXDR_Tank_OnEnterPOSTRUN     ((EventMaskType)1048576uLL)</t>
  </si>
  <si>
    <t># define Rte_Ev_Run_CXDR_Tank_OnEnterRUN     ((EventMaskType)2097152uLL)</t>
  </si>
  <si>
    <t># define Rte_Ev_Run_CanTp_CanTp_MainFunction     ((EventMaskType)4uLL)</t>
  </si>
  <si>
    <t># define Rte_Ev_Run_ComMExt_ComMExt_Impl_MainFunction     ((EventMaskType)8uLL)</t>
  </si>
  <si>
    <t># define Rte_Ev_Run_EcuM_EcuM_MainFunction     ((EventMaskType)32uLL)</t>
  </si>
  <si>
    <t># define Rte_Ev_Run_I2c_I2c_MainFunction     ((EventMaskType)64uLL)</t>
  </si>
  <si>
    <t># define Rte_Ev_Run_I5CM_OnEnterPOSTRUN     ((EventMaskType)4194304uLL)</t>
  </si>
  <si>
    <t># define Rte_Ev_Run_I5CM_OnEnterRUN     ((EventMaskType)8388608uLL)</t>
  </si>
  <si>
    <t># define Rte_Ev_Run_I5CM_OnExitPOSTRUN     ((EventMaskType)16777216uLL)</t>
  </si>
  <si>
    <t># define Rte_Ev_Run_I5CM_OnExitRUN     ((EventMaskType)33554432uLL)</t>
  </si>
  <si>
    <t># define Rte_Ev_Run_IoCtrl_IoCtrl_MainFunction     ((EventMaskType)16uLL)</t>
  </si>
  <si>
    <t># define Rte_Ev_Run_IoCtrl_IoCtrl_StackMeasure     ((EventMaskType)32uLL)</t>
  </si>
  <si>
    <t># define Rte_Ev_Run_IvdShA_Ivd_MainFunction     ((EventMaskType)64uLL)</t>
  </si>
  <si>
    <t># define Rte_Ev_Run_MDL_BCCT_Task     ((EventMaskType)128uLL)</t>
  </si>
  <si>
    <t># define Rte_Ev_Run_MDL_Button_Task     ((EventMaskType)16uLL)</t>
  </si>
  <si>
    <t># define Rte_Ev_Run_MDL_CarHandling_Task     ((EventMaskType)32uLL)</t>
  </si>
  <si>
    <t># define Rte_Ev_Run_MDL_CarLeaving_Task     ((EventMaskType)256uLL)</t>
  </si>
  <si>
    <t># define Rte_Ev_Run_MDL_Clock_OnEnterPOSTRUN     ((EventMaskType)128uLL)</t>
  </si>
  <si>
    <t># define Rte_Ev_Run_MDL_Clock_OnEnterRUN     ((EventMaskType)256uLL)</t>
  </si>
  <si>
    <t># define Rte_Ev_Run_MDL_Clock_Task     ((EventMaskType)67108864uLL)</t>
  </si>
  <si>
    <t># define Rte_Ev_Run_MDL_Clock_Update_Task     ((EventMaskType)512uLL)</t>
  </si>
  <si>
    <t># define Rte_Ev_Run_MDL_Cruise_Task     ((EventMaskType)8uLL)</t>
  </si>
  <si>
    <t># define Rte_Ev_Run_MDL_Display_ProcessWarningsConfirmation     ((EventMaskType)8uLL)</t>
  </si>
  <si>
    <t># define Rte_Ev_Run_MDL_Display_Task     ((EventMaskType)16uLL)</t>
  </si>
  <si>
    <t># define Rte_Ev_Run_MDL_HMIGW_TaskFast     ((EventMaskType)32uLL)</t>
  </si>
  <si>
    <t># define Rte_Ev_Run_MDL_Heater_Task     ((EventMaskType)1024uLL)</t>
  </si>
  <si>
    <t># define Rte_Ev_Run_MDL_InternTemp_Task     ((EventMaskType)2048uLL)</t>
  </si>
  <si>
    <t># define Rte_Ev_Run_MDL_Motor_Task     ((EventMaskType)64uLL)</t>
  </si>
  <si>
    <t># define Rte_Ev_Run_MDL_Service_Task     ((EventMaskType)64uLL)</t>
  </si>
  <si>
    <t># define Rte_Ev_Run_MDL_SiWaLa_Task     ((EventMaskType)4096uLL)</t>
  </si>
  <si>
    <t># define Rte_Ev_Run_MDL_Speed_Task     ((EventMaskType)128uLL)</t>
  </si>
  <si>
    <t># define Rte_Ev_Run_MDL_TRC_Task     ((EventMaskType)256uLL)</t>
  </si>
  <si>
    <t># define Rte_Ev_Run_MDL_Tank_Task     ((EventMaskType)128uLL)</t>
  </si>
  <si>
    <t># define Rte_Ev_Run_MDL_Tank_Task_CAN     ((EventMaskType)512uLL)</t>
  </si>
  <si>
    <t># define Rte_Ev_Run_MDL_Tank_Task_Sampling     ((EventMaskType)8192uLL)</t>
  </si>
  <si>
    <t># define Rte_Ev_Run_MDL_VehicleType_Task     ((EventMaskType)16uLL)</t>
  </si>
  <si>
    <t># define Rte_Ev_Run_PowerCdd_PowerCdd_MainFunction     ((EventMaskType)2uLL)</t>
  </si>
  <si>
    <t># define Rte_Ev_Run_PowerCdd_PowerCdd_StateTransistionProcess     ((EventMaskType)4uLL)</t>
  </si>
  <si>
    <t># define Rte_Ev_Run_SRV_ComExt_OnMessageTo_BEM_02     ((EventMaskType)1uLL)</t>
  </si>
  <si>
    <t># define Rte_Ev_Run_SRV_ComExt_OnMessageTo_DC_Hybrid_01     ((EventMaskType)2uLL)</t>
  </si>
  <si>
    <t># define Rte_Ev_Run_SRV_ComExt_OnMessageTo_Daempfer_01     ((EventMaskType)4uLL)</t>
  </si>
  <si>
    <t># define Rte_Ev_Run_SRV_ComExt_OnMessageTo_ELV_01     ((EventMaskType)8uLL)</t>
  </si>
  <si>
    <t># define Rte_Ev_Run_SRV_ComExt_OnMessageTo_EPB_02     ((EventMaskType)16uLL)</t>
  </si>
  <si>
    <t># define Rte_Ev_Run_SRV_ComExt_OnMessageTo_ESP_21     ((EventMaskType)32uLL)</t>
  </si>
  <si>
    <t># define Rte_Ev_Run_SRV_ComExt_OnMessageTo_FCW_01     ((EventMaskType)64uLL)</t>
  </si>
  <si>
    <t># define Rte_Ev_Run_SRV_ComExt_OnMessageTo_GNSS_02     ((EventMaskType)128uLL)</t>
  </si>
  <si>
    <t># define Rte_Ev_Run_SRV_ComExt_OnMessageTo_GNSS_07     ((EventMaskType)256uLL)</t>
  </si>
  <si>
    <t># define Rte_Ev_Run_SRV_ComExt_OnMessageTo_HVLM_05     ((EventMaskType)512uLL)</t>
  </si>
  <si>
    <t># define Rte_Ev_Run_SRV_ComExt_OnMessageTo_Kessy_04     ((EventMaskType)1024uLL)</t>
  </si>
  <si>
    <t># define Rte_Ev_Run_SRV_ComExt_OnMessageTo_Klemmen_Status_01     ((EventMaskType)2048uLL)</t>
  </si>
  <si>
    <t># define Rte_Ev_Run_SRV_ComExt_OnMessageTo_Klima_12     ((EventMaskType)4096uLL)</t>
  </si>
  <si>
    <t># define Rte_Ev_Run_SRV_ComExt_OnMessageTo_LDW_02     ((EventMaskType)8192uLL)</t>
  </si>
  <si>
    <t># define Rte_Ev_Run_SRV_ComExt_OnMessageTo_LSH_02     ((EventMaskType)16384uLL)</t>
  </si>
  <si>
    <t># define Rte_Ev_Run_SRV_ComExt_OnMessageTo_LWR_AFS_01     ((EventMaskType)32768uLL)</t>
  </si>
  <si>
    <t># define Rte_Ev_Run_SRV_ComExt_OnMessageTo_Licht_vorne_01     ((EventMaskType)65536uLL)</t>
  </si>
  <si>
    <t># define Rte_Ev_Run_SRV_ComExt_OnMessageTo_MFG_01     ((EventMaskType)131072uLL)</t>
  </si>
  <si>
    <t># define Rte_Ev_Run_SRV_ComExt_OnMessageTo_MainUnit_01     ((EventMaskType)262144uLL)</t>
  </si>
  <si>
    <t># define Rte_Ev_Run_SRV_ComExt_OnMessageTo_Mem_BFS_01     ((EventMaskType)524288uLL)</t>
  </si>
  <si>
    <t># define Rte_Ev_Run_SRV_ComExt_OnMessageTo_Mem_FS_01     ((EventMaskType)1048576uLL)</t>
  </si>
  <si>
    <t># define Rte_Ev_Run_SRV_ComExt_OnMessageTo_Motor_04     ((EventMaskType)2097152uLL)</t>
  </si>
  <si>
    <t># define Rte_Ev_Run_SRV_ComExt_OnMessageTo_Motor_36     ((EventMaskType)4194304uLL)</t>
  </si>
  <si>
    <t># define Rte_Ev_Run_SRV_ComExt_OnMessageTo_PLA_Status_01     ((EventMaskType)8388608uLL)</t>
  </si>
  <si>
    <t># define Rte_Ev_Run_SRV_ComExt_OnMessageTo_PLA_Status_02     ((EventMaskType)134217728uLL)</t>
  </si>
  <si>
    <t># define Rte_Ev_Run_SRV_ComExt_OnMessageTo_Personalisierung_01     ((EventMaskType)16777216uLL)</t>
  </si>
  <si>
    <t># define Rte_Ev_Run_SRV_ComExt_OnMessageTo_Quersperre_04     ((EventMaskType)268435456uLL)</t>
  </si>
  <si>
    <t># define Rte_Ev_Run_SRV_ComExt_OnMessageTo_RDK_02     ((EventMaskType)536870912uLL)</t>
  </si>
  <si>
    <t># define Rte_Ev_Run_SRV_ComExt_OnMessageTo_RKA_01     ((EventMaskType)1073741824uLL)</t>
  </si>
  <si>
    <t># define Rte_Ev_Run_SRV_ComExt_OnMessageTo_SMLS_01     ((EventMaskType)2147483648uLL)</t>
  </si>
  <si>
    <t># define Rte_Ev_Run_SRV_ComExt_OnMessageTo_STH_01     ((EventMaskType)4294967296uLL)</t>
  </si>
  <si>
    <t># define Rte_Ev_Run_SRV_ComExt_OnMessageTo_STS_01     ((EventMaskType)8589934592uLL)</t>
  </si>
  <si>
    <t># define Rte_Ev_Run_SRV_ComExt_OnMessageTo_SWA_01     ((EventMaskType)17179869184uLL)</t>
  </si>
  <si>
    <t># define Rte_Ev_Run_SRV_ComExt_OnMessageTo_TCO_01     ((EventMaskType)34359738368uLL)</t>
  </si>
  <si>
    <t># define Rte_Ev_Run_SRV_ComExt_OnMessageTo_TM_01     ((EventMaskType)68719476736uLL)</t>
  </si>
  <si>
    <t># define Rte_Ev_Run_SRV_ComExt_OnMessageTo_TSG_FT_02     ((EventMaskType)137438953472uLL)</t>
  </si>
  <si>
    <t># define Rte_Ev_Run_SRV_ComExt_OnMessageTo_Thermo_Verbrauch_01     ((EventMaskType)274877906944uLL)</t>
  </si>
  <si>
    <t># define Rte_Ev_Run_SRV_ComExt_OnMessageTo_Verdeck_01     ((EventMaskType)549755813888uLL)</t>
  </si>
  <si>
    <t># define Rte_Ev_Run_SRV_ComExt_OnMessageTo_WBA_03     ((EventMaskType)1099511627776uLL)</t>
  </si>
  <si>
    <t># define Rte_Ev_Run_SRV_ComExt_OnMessageTo_ZV_01     ((EventMaskType)2199023255552uLL)</t>
  </si>
  <si>
    <t># define Rte_Ev_Run_SRV_ComExt_Task50ms     ((EventMaskType)32uLL)</t>
  </si>
  <si>
    <t># define Rte_Ev_Run_SRV_ComExt_TaskSlow     ((EventMaskType)4uLL)</t>
  </si>
  <si>
    <t># define Rte_Ev_Run_SRV_CsmH_Task     ((EventMaskType)64uLL)</t>
  </si>
  <si>
    <t># define Rte_Ev_Run_SRV_NvMExt_Task     ((EventMaskType)8uLL)</t>
  </si>
  <si>
    <t># define Rte_Ev_Run_SRV_WdgM_Checkpoint_Monitor     ((EventMaskType)128uLL)</t>
  </si>
  <si>
    <t># define Rte_Ev_Run_SRV_WdgM_Task     ((EventMaskType)256uLL)</t>
  </si>
  <si>
    <t># define Rte_Ev_Run_SafeBsw_OsTask_SafeSWCEventPeriodic_0_Wdgm_Checkpoint_5ms     ((EventMaskType)128uLL)</t>
  </si>
  <si>
    <t># define Rte_Ev_Run_SndCdd_CSndCdd_Impl_MainFunction     ((EventMaskType)8uLL)</t>
  </si>
  <si>
    <t># define Rte_Ev_Run_SndCdd_CSndCdd_ToneProcess     ((EventMaskType)16uLL)</t>
  </si>
  <si>
    <t># define Rte_Ev_Run_SokFm_SokFm_MainFunction     ((EventMaskType)32uLL)</t>
  </si>
  <si>
    <t># define Rte_Ev_Run_SysTst_SafeSWCEventPeriodic_0_Checkpoint     ((EventMaskType)256uLL)</t>
  </si>
  <si>
    <t># define Rte_Ev_Run_VIEW_Sound_Task     ((EventMaskType)256uLL)</t>
  </si>
  <si>
    <t># define Rte_Ev_Run_WdgMExt_OsTask_SWCEventPeriodic_0_Wdgm_Checkpoint_100ms     ((EventMaskType)16384uLL)</t>
  </si>
  <si>
    <t># define Rte_Ev_Run_WdgMExt_OsTask_SWCEventPeriodic_2_Wdgm_Checkpoint_100ms     ((EventMaskType)1024uLL)</t>
  </si>
  <si>
    <t># define Rte_Ev_Run_WdgMExt_OsTask_SWCEventPeriodic_2_Wdgm_Checkpoint_50ms     ((EventMaskType)2048uLL)</t>
  </si>
  <si>
    <t># define Rte_Ev_Run_WdgMExt_OsTask_SWC_10ms_Wdgm_Checkpoint_10ms     ((EventMaskType)16uLL)</t>
  </si>
  <si>
    <t># define Rte_Ev_Run_WdgMExt_OsTask_SWC_50ms_100ms_Wdgm_Checkpoint_50ms     ((EventMaskType)512uLL)</t>
  </si>
  <si>
    <t># define Rte_Ev_TO_OsTask_SWCEvent_5     ((EventMaskType)1uLL)</t>
  </si>
  <si>
    <t># define Rte_Ev_WP_OsTask_SWCEventPeriodic_0     ((EventMaskType)2uLL)</t>
  </si>
  <si>
    <t># define Rte_Ev_WP_OsTask_SWCEventPeriodic_2     ((EventMaskType)2uLL)</t>
  </si>
  <si>
    <t># define Rte_Ev_WP_OsTask_SWCEvent_5     ((EventMaskType)2uLL)</t>
  </si>
  <si>
    <t>RunningMode</t>
  </si>
  <si>
    <t>OS_Privilegemode</t>
  </si>
  <si>
    <t>OS_Usermode</t>
  </si>
  <si>
    <t>Rte_Al_TE2_OsTask_Bsw_EventPeriodic_0_10ms</t>
  </si>
  <si>
    <t>Rte_Al_TE2_OsTask_SWCEventPeriodic_2_0_10ms</t>
  </si>
  <si>
    <t>Rte_Al_TE_CXDR_Illum_MainFunction</t>
  </si>
  <si>
    <t>Rte_Al_TE_CXDR_Security_CXDR_Security_Main</t>
  </si>
  <si>
    <t>Rte_Al_TE_CXDR_Tank_MainFunction</t>
  </si>
  <si>
    <t>Rte_Al_TE_CanNm_CanNm_MainFunction</t>
  </si>
  <si>
    <t>Rte_Al_TE_CanSM_CanSM_MainFunction</t>
  </si>
  <si>
    <t>Rte_Al_TE_Com_Com_MainFunctionRx</t>
  </si>
  <si>
    <t>Rte_Al_TE_Com_Com_MainFunctionTx</t>
  </si>
  <si>
    <t>Rte_Al_TE_EcuMExt_EcuMExt_MainFunction</t>
  </si>
  <si>
    <t>Rte_Al_TE_Ks_MainFunction</t>
  </si>
  <si>
    <t>Rte_Al_TE_MDL_Assistance_Task</t>
  </si>
  <si>
    <t>Rte_Al_TE_MDL_Clock_Cycle_Task</t>
  </si>
  <si>
    <t>Rte_Al_TE_MDL_Dimming_Task</t>
  </si>
  <si>
    <t>Rte_Al_TE_MDL_Electric_Task</t>
  </si>
  <si>
    <t>Rte_Al_TE_MDL_Gear_Task</t>
  </si>
  <si>
    <t>Rte_Al_TE_MDL_OutTemp_Task</t>
  </si>
  <si>
    <t>Rte_Al_TE_MDL_Road_Task</t>
  </si>
  <si>
    <t>Rte_Al_TE_MDL_Tyres_Task</t>
  </si>
  <si>
    <t>Rte_Al_TE_MDL_UsrProfile_Task</t>
  </si>
  <si>
    <t>Rte_Al_TE_OsTask_Bsw_EventPeriodic_0_10ms</t>
  </si>
  <si>
    <t>Rte_Al_TE_OsTask_SWCEventPeriodic_1_0_10ms</t>
  </si>
  <si>
    <t>Rte_Al_TE_OsTask_SWCEventPeriodic_1_4_10ms</t>
  </si>
  <si>
    <t>Rte_Al_TE_OsTask_SWCEventPeriodic_1_4_40ms</t>
  </si>
  <si>
    <t>Rte_Al_TE_OsTask_SWCEventPeriodic_1_8_20ms</t>
  </si>
  <si>
    <t>Rte_Al_TE_OsTask_SWCEventPeriodic_1_8_40ms</t>
  </si>
  <si>
    <t>Rte_Al_TE_OsTask_SWCEventPeriodic_4_0_10ms</t>
  </si>
  <si>
    <t>Rte_Al_TE_OsTask_SWC_10ms_0_10ms</t>
  </si>
  <si>
    <t>Rte_Al_TE_OsTask_SafeSWCEventPeriodic_0_0_10ms</t>
  </si>
  <si>
    <t>Rte_Al_TE_RtcCdd_RtcCdd_MainFunction</t>
  </si>
  <si>
    <t>Rte_Al_TE_SRV_Cfg_BAP_Task</t>
  </si>
  <si>
    <t>Rte_Al_TE_SRV_GSS_MainTask</t>
  </si>
  <si>
    <t>Rte_Al_TE_SRV_HmiEvents_Task</t>
  </si>
  <si>
    <t>Rte_Al_TE_SRV_TstDriver_Task</t>
  </si>
  <si>
    <t>Rte_Al_TE_SafeBsw_OsTask_SafeSWCEventPeriodic_0_Wdgm_Checkpoint_50ms</t>
  </si>
  <si>
    <t>Rte_Al_TE_VIEW_Bargraph_Task</t>
  </si>
  <si>
    <t>Rte_Al_TE_VIEW_Illumination_Task</t>
  </si>
  <si>
    <t>Rte_Al_TE_VIEW_Lamps_Task</t>
  </si>
  <si>
    <t>Rte_Al_TO_OsTask_SWCEvent_4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</si>
</sst>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i/>
      <sz val="15"/>
      <color rgb="FFFF0000"/>
      <name val="Calibri"/>
      <family val="2"/>
      <scheme val="minor"/>
    </font>
    <font>
      <b/>
      <i/>
      <u/>
      <sz val="15"/>
      <color rgb="FFFF0000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</fonts>
  <fills count="2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rgb="FFF2F2F2"/>
      </patternFill>
    </fill>
    <fill>
      <patternFill patternType="solid">
        <fgColor theme="6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-0.249977111117893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9">
    <xf numFmtId="0" fontId="0" fillId="0" borderId="0"/>
    <xf numFmtId="0" fontId="1" fillId="0" borderId="0" applyNumberFormat="0" applyFill="0" applyBorder="0" applyAlignment="0" applyProtection="0"/>
    <xf numFmtId="0" fontId="18" fillId="18" borderId="0" applyNumberFormat="0" applyBorder="0" applyAlignment="0" applyProtection="0"/>
    <xf numFmtId="0" fontId="18" fillId="19" borderId="0" applyNumberFormat="0" applyBorder="0" applyAlignment="0" applyProtection="0"/>
    <xf numFmtId="0" fontId="19" fillId="20" borderId="24" applyNumberFormat="0" applyAlignment="0" applyProtection="0"/>
    <xf numFmtId="0" fontId="20" fillId="21" borderId="0" applyNumberFormat="0" applyBorder="0" applyAlignment="0" applyProtection="0"/>
    <xf numFmtId="0" fontId="21" fillId="22" borderId="0" applyNumberFormat="0" applyBorder="0" applyAlignment="0" applyProtection="0"/>
    <xf numFmtId="0" fontId="20" fillId="23" borderId="0" applyNumberFormat="0" applyBorder="0" applyAlignment="0" applyProtection="0"/>
    <xf numFmtId="0" fontId="20" fillId="24" borderId="0" applyNumberFormat="0" applyBorder="0" applyAlignment="0" applyProtection="0"/>
  </cellStyleXfs>
  <cellXfs count="192">
    <xf numFmtId="0" fontId="0" fillId="0" borderId="0" xfId="0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4" borderId="0" xfId="0" applyFill="1"/>
    <xf numFmtId="0" fontId="0" fillId="4" borderId="7" xfId="0" applyFill="1" applyBorder="1" applyAlignment="1">
      <alignment horizontal="center"/>
    </xf>
    <xf numFmtId="0" fontId="0" fillId="3" borderId="1" xfId="0" applyFill="1" applyBorder="1"/>
    <xf numFmtId="0" fontId="0" fillId="3" borderId="2" xfId="0" applyFill="1" applyBorder="1" applyAlignment="1">
      <alignment horizontal="center" vertical="center"/>
    </xf>
    <xf numFmtId="0" fontId="0" fillId="3" borderId="3" xfId="0" applyFill="1" applyBorder="1"/>
    <xf numFmtId="0" fontId="0" fillId="3" borderId="4" xfId="0" applyFill="1" applyBorder="1" applyAlignment="1">
      <alignment horizontal="center" vertical="center"/>
    </xf>
    <xf numFmtId="0" fontId="0" fillId="3" borderId="5" xfId="0" applyFill="1" applyBorder="1"/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/>
    </xf>
    <xf numFmtId="0" fontId="0" fillId="3" borderId="7" xfId="0" applyFill="1" applyBorder="1"/>
    <xf numFmtId="0" fontId="0" fillId="3" borderId="3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10" xfId="0" applyFill="1" applyBorder="1"/>
    <xf numFmtId="0" fontId="0" fillId="3" borderId="10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9" xfId="0" applyFill="1" applyBorder="1"/>
    <xf numFmtId="0" fontId="0" fillId="6" borderId="9" xfId="0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0" fillId="0" borderId="7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7" xfId="0" applyBorder="1"/>
    <xf numFmtId="0" fontId="0" fillId="7" borderId="0" xfId="0" applyFill="1"/>
    <xf numFmtId="0" fontId="0" fillId="8" borderId="2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6" borderId="3" xfId="0" applyFill="1" applyBorder="1" applyAlignment="1">
      <alignment horizontal="left"/>
    </xf>
    <xf numFmtId="0" fontId="0" fillId="0" borderId="0" xfId="0" applyBorder="1"/>
    <xf numFmtId="0" fontId="0" fillId="6" borderId="5" xfId="0" applyFill="1" applyBorder="1" applyAlignment="1">
      <alignment horizontal="left"/>
    </xf>
    <xf numFmtId="0" fontId="0" fillId="2" borderId="0" xfId="0" applyFill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6" borderId="7" xfId="0" applyFill="1" applyBorder="1"/>
    <xf numFmtId="0" fontId="1" fillId="4" borderId="0" xfId="1" applyFill="1"/>
    <xf numFmtId="0" fontId="0" fillId="0" borderId="0" xfId="0" applyAlignment="1">
      <alignment horizontal="left" vertical="top"/>
    </xf>
    <xf numFmtId="0" fontId="0" fillId="6" borderId="2" xfId="0" applyFill="1" applyBorder="1" applyAlignment="1">
      <alignment horizontal="center" vertical="center" wrapText="1"/>
    </xf>
    <xf numFmtId="0" fontId="0" fillId="2" borderId="7" xfId="0" applyFill="1" applyBorder="1"/>
    <xf numFmtId="0" fontId="0" fillId="2" borderId="0" xfId="0" applyFill="1" applyAlignment="1">
      <alignment wrapText="1"/>
    </xf>
    <xf numFmtId="0" fontId="0" fillId="3" borderId="7" xfId="0" applyFill="1" applyBorder="1" applyAlignment="1">
      <alignment horizontal="center" vertical="center"/>
    </xf>
    <xf numFmtId="0" fontId="0" fillId="0" borderId="0" xfId="0" applyFont="1"/>
    <xf numFmtId="0" fontId="5" fillId="4" borderId="7" xfId="0" applyFont="1" applyFill="1" applyBorder="1" applyAlignment="1">
      <alignment horizontal="center"/>
    </xf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9" borderId="0" xfId="0" applyFont="1" applyFill="1" applyAlignment="1">
      <alignment horizontal="left"/>
    </xf>
    <xf numFmtId="0" fontId="9" fillId="0" borderId="0" xfId="0" applyFont="1" applyAlignment="1">
      <alignment horizontal="left"/>
    </xf>
    <xf numFmtId="0" fontId="10" fillId="10" borderId="7" xfId="0" applyFont="1" applyFill="1" applyBorder="1" applyAlignment="1">
      <alignment horizontal="center"/>
    </xf>
    <xf numFmtId="15" fontId="0" fillId="0" borderId="0" xfId="0" applyNumberFormat="1"/>
    <xf numFmtId="14" fontId="0" fillId="0" borderId="0" xfId="0" applyNumberFormat="1"/>
    <xf numFmtId="0" fontId="0" fillId="4" borderId="0" xfId="0" applyFill="1" applyAlignment="1">
      <alignment horizontal="left"/>
    </xf>
    <xf numFmtId="0" fontId="5" fillId="4" borderId="7" xfId="0" applyFont="1" applyFill="1" applyBorder="1" applyAlignment="1">
      <alignment horizontal="left"/>
    </xf>
    <xf numFmtId="0" fontId="0" fillId="0" borderId="0" xfId="0" applyAlignment="1">
      <alignment wrapText="1"/>
    </xf>
    <xf numFmtId="0" fontId="1" fillId="0" borderId="0" xfId="1"/>
    <xf numFmtId="0" fontId="6" fillId="12" borderId="0" xfId="0" applyFont="1" applyFill="1"/>
    <xf numFmtId="0" fontId="0" fillId="12" borderId="0" xfId="0" applyFill="1"/>
    <xf numFmtId="0" fontId="5" fillId="13" borderId="0" xfId="0" applyFont="1" applyFill="1"/>
    <xf numFmtId="0" fontId="0" fillId="13" borderId="0" xfId="0" applyFill="1"/>
    <xf numFmtId="0" fontId="9" fillId="0" borderId="0" xfId="0" applyFont="1"/>
    <xf numFmtId="0" fontId="0" fillId="0" borderId="0" xfId="0" applyFill="1" applyAlignment="1">
      <alignment horizontal="center"/>
    </xf>
    <xf numFmtId="0" fontId="0" fillId="14" borderId="7" xfId="0" applyFill="1" applyBorder="1" applyAlignment="1">
      <alignment horizontal="center"/>
    </xf>
    <xf numFmtId="0" fontId="5" fillId="14" borderId="7" xfId="0" applyFont="1" applyFill="1" applyBorder="1"/>
    <xf numFmtId="0" fontId="0" fillId="2" borderId="7" xfId="0" applyFill="1" applyBorder="1" applyAlignment="1">
      <alignment horizontal="center"/>
    </xf>
    <xf numFmtId="0" fontId="5" fillId="2" borderId="7" xfId="0" applyFont="1" applyFill="1" applyBorder="1"/>
    <xf numFmtId="0" fontId="0" fillId="2" borderId="4" xfId="0" applyFill="1" applyBorder="1"/>
    <xf numFmtId="0" fontId="0" fillId="4" borderId="0" xfId="0" applyFill="1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15" borderId="9" xfId="0" applyFill="1" applyBorder="1" applyAlignment="1">
      <alignment horizontal="center" vertical="center"/>
    </xf>
    <xf numFmtId="0" fontId="0" fillId="15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5" fillId="15" borderId="1" xfId="0" applyFont="1" applyFill="1" applyBorder="1" applyAlignment="1">
      <alignment horizontal="center"/>
    </xf>
    <xf numFmtId="0" fontId="5" fillId="15" borderId="9" xfId="0" applyFont="1" applyFill="1" applyBorder="1" applyAlignment="1">
      <alignment horizontal="center" vertical="center"/>
    </xf>
    <xf numFmtId="0" fontId="5" fillId="15" borderId="2" xfId="0" applyFont="1" applyFill="1" applyBorder="1" applyAlignment="1">
      <alignment horizontal="center" vertical="center"/>
    </xf>
    <xf numFmtId="0" fontId="0" fillId="15" borderId="12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5" fillId="15" borderId="1" xfId="0" applyFont="1" applyFill="1" applyBorder="1" applyAlignment="1">
      <alignment horizontal="center" vertical="center"/>
    </xf>
    <xf numFmtId="0" fontId="5" fillId="15" borderId="12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13" fillId="13" borderId="1" xfId="0" applyFont="1" applyFill="1" applyBorder="1"/>
    <xf numFmtId="0" fontId="13" fillId="13" borderId="3" xfId="0" applyFont="1" applyFill="1" applyBorder="1"/>
    <xf numFmtId="0" fontId="13" fillId="13" borderId="5" xfId="0" applyFont="1" applyFill="1" applyBorder="1"/>
    <xf numFmtId="0" fontId="0" fillId="14" borderId="4" xfId="0" applyFill="1" applyBorder="1" applyAlignment="1">
      <alignment horizontal="center" vertical="center"/>
    </xf>
    <xf numFmtId="0" fontId="0" fillId="16" borderId="7" xfId="0" applyFill="1" applyBorder="1" applyAlignment="1">
      <alignment horizontal="center" vertical="center"/>
    </xf>
    <xf numFmtId="0" fontId="0" fillId="14" borderId="7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/>
    </xf>
    <xf numFmtId="0" fontId="5" fillId="14" borderId="0" xfId="0" applyFont="1" applyFill="1"/>
    <xf numFmtId="0" fontId="0" fillId="3" borderId="7" xfId="0" applyFill="1" applyBorder="1"/>
    <xf numFmtId="0" fontId="0" fillId="14" borderId="7" xfId="0" applyFill="1" applyBorder="1" applyAlignment="1">
      <alignment horizontal="center"/>
    </xf>
    <xf numFmtId="0" fontId="5" fillId="14" borderId="7" xfId="0" applyFont="1" applyFill="1" applyBorder="1"/>
    <xf numFmtId="0" fontId="0" fillId="14" borderId="0" xfId="0" applyFill="1"/>
    <xf numFmtId="0" fontId="0" fillId="0" borderId="0" xfId="0" applyAlignment="1">
      <alignment horizontal="right" vertical="center"/>
    </xf>
    <xf numFmtId="0" fontId="1" fillId="6" borderId="7" xfId="1" applyFill="1" applyBorder="1"/>
    <xf numFmtId="0" fontId="16" fillId="19" borderId="0" xfId="3" applyFont="1"/>
    <xf numFmtId="0" fontId="7" fillId="2" borderId="16" xfId="0" applyFont="1" applyFill="1" applyBorder="1"/>
    <xf numFmtId="0" fontId="7" fillId="2" borderId="17" xfId="0" applyFont="1" applyFill="1" applyBorder="1"/>
    <xf numFmtId="0" fontId="0" fillId="2" borderId="18" xfId="0" applyFill="1" applyBorder="1"/>
    <xf numFmtId="0" fontId="17" fillId="0" borderId="0" xfId="0" applyFont="1"/>
    <xf numFmtId="0" fontId="7" fillId="2" borderId="19" xfId="0" applyFont="1" applyFill="1" applyBorder="1"/>
    <xf numFmtId="0" fontId="0" fillId="2" borderId="17" xfId="0" applyFill="1" applyBorder="1"/>
    <xf numFmtId="0" fontId="7" fillId="2" borderId="8" xfId="0" applyFont="1" applyFill="1" applyBorder="1"/>
    <xf numFmtId="0" fontId="0" fillId="2" borderId="0" xfId="0" applyFill="1" applyBorder="1"/>
    <xf numFmtId="0" fontId="0" fillId="2" borderId="20" xfId="0" applyFill="1" applyBorder="1"/>
    <xf numFmtId="0" fontId="7" fillId="2" borderId="21" xfId="0" applyFont="1" applyFill="1" applyBorder="1"/>
    <xf numFmtId="0" fontId="0" fillId="2" borderId="22" xfId="0" applyFill="1" applyBorder="1"/>
    <xf numFmtId="0" fontId="0" fillId="2" borderId="23" xfId="0" applyFill="1" applyBorder="1"/>
    <xf numFmtId="0" fontId="20" fillId="21" borderId="0" xfId="5"/>
    <xf numFmtId="0" fontId="0" fillId="14" borderId="7" xfId="0" applyFill="1" applyBorder="1" applyAlignment="1">
      <alignment horizontal="left"/>
    </xf>
    <xf numFmtId="0" fontId="21" fillId="22" borderId="7" xfId="6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2" xfId="0" applyFill="1" applyBorder="1" applyAlignment="1">
      <alignment horizontal="center" vertical="center"/>
    </xf>
    <xf numFmtId="0" fontId="0" fillId="0" borderId="4" xfId="0" applyFill="1" applyBorder="1" applyAlignment="1" applyProtection="1">
      <alignment horizontal="center" vertical="center"/>
    </xf>
    <xf numFmtId="0" fontId="0" fillId="2" borderId="9" xfId="0" applyFill="1" applyBorder="1"/>
    <xf numFmtId="0" fontId="0" fillId="2" borderId="12" xfId="0" applyFill="1" applyBorder="1"/>
    <xf numFmtId="0" fontId="0" fillId="0" borderId="13" xfId="0" applyBorder="1"/>
    <xf numFmtId="0" fontId="0" fillId="14" borderId="7" xfId="0" applyFill="1" applyBorder="1"/>
    <xf numFmtId="0" fontId="20" fillId="23" borderId="7" xfId="7" applyBorder="1" applyAlignment="1">
      <alignment horizontal="center" vertical="center"/>
    </xf>
    <xf numFmtId="0" fontId="0" fillId="3" borderId="2" xfId="0" applyFill="1" applyBorder="1"/>
    <xf numFmtId="0" fontId="20" fillId="24" borderId="1" xfId="8" applyBorder="1"/>
    <xf numFmtId="0" fontId="20" fillId="24" borderId="3" xfId="8" applyBorder="1"/>
    <xf numFmtId="0" fontId="19" fillId="0" borderId="24" xfId="4" applyFill="1" applyAlignment="1">
      <alignment horizontal="center" vertical="center"/>
    </xf>
    <xf numFmtId="0" fontId="10" fillId="10" borderId="0" xfId="0" applyFont="1" applyFill="1" applyAlignment="1">
      <alignment horizontal="center"/>
    </xf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14" borderId="26" xfId="0" applyFill="1" applyBorder="1"/>
    <xf numFmtId="0" fontId="0" fillId="0" borderId="11" xfId="0" applyBorder="1"/>
    <xf numFmtId="0" fontId="0" fillId="0" borderId="4" xfId="0" applyBorder="1"/>
    <xf numFmtId="0" fontId="0" fillId="25" borderId="7" xfId="0" applyFill="1" applyBorder="1"/>
    <xf numFmtId="0" fontId="0" fillId="25" borderId="4" xfId="0" applyFill="1" applyBorder="1"/>
    <xf numFmtId="0" fontId="0" fillId="25" borderId="13" xfId="0" applyFill="1" applyBorder="1"/>
    <xf numFmtId="0" fontId="0" fillId="2" borderId="13" xfId="0" applyFill="1" applyBorder="1"/>
    <xf numFmtId="0" fontId="0" fillId="0" borderId="5" xfId="0" applyBorder="1"/>
    <xf numFmtId="0" fontId="0" fillId="0" borderId="10" xfId="0" applyBorder="1"/>
    <xf numFmtId="0" fontId="0" fillId="0" borderId="29" xfId="0" applyBorder="1"/>
    <xf numFmtId="0" fontId="0" fillId="14" borderId="10" xfId="0" applyFill="1" applyBorder="1"/>
    <xf numFmtId="0" fontId="0" fillId="0" borderId="30" xfId="0" applyBorder="1"/>
    <xf numFmtId="0" fontId="0" fillId="0" borderId="9" xfId="0" applyBorder="1"/>
    <xf numFmtId="0" fontId="0" fillId="0" borderId="2" xfId="0" applyBorder="1"/>
    <xf numFmtId="0" fontId="14" fillId="25" borderId="7" xfId="0" applyFont="1" applyFill="1" applyBorder="1"/>
    <xf numFmtId="0" fontId="14" fillId="25" borderId="4" xfId="0" applyFont="1" applyFill="1" applyBorder="1"/>
    <xf numFmtId="0" fontId="14" fillId="25" borderId="13" xfId="0" applyFont="1" applyFill="1" applyBorder="1"/>
    <xf numFmtId="0" fontId="0" fillId="0" borderId="6" xfId="0" applyBorder="1"/>
    <xf numFmtId="0" fontId="0" fillId="0" borderId="1" xfId="0" applyBorder="1"/>
    <xf numFmtId="0" fontId="0" fillId="0" borderId="31" xfId="0" applyBorder="1"/>
    <xf numFmtId="0" fontId="0" fillId="25" borderId="26" xfId="0" applyFill="1" applyBorder="1"/>
    <xf numFmtId="0" fontId="0" fillId="2" borderId="26" xfId="0" applyFill="1" applyBorder="1"/>
    <xf numFmtId="0" fontId="0" fillId="0" borderId="32" xfId="0" applyBorder="1"/>
    <xf numFmtId="0" fontId="0" fillId="0" borderId="3" xfId="0" applyBorder="1"/>
    <xf numFmtId="0" fontId="0" fillId="4" borderId="0" xfId="0" applyFill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3" borderId="13" xfId="0" applyFill="1" applyBorder="1"/>
    <xf numFmtId="0" fontId="0" fillId="3" borderId="13" xfId="0" applyFill="1" applyBorder="1" applyAlignment="1">
      <alignment horizontal="right"/>
    </xf>
    <xf numFmtId="0" fontId="0" fillId="6" borderId="33" xfId="0" applyFill="1" applyBorder="1"/>
    <xf numFmtId="0" fontId="0" fillId="0" borderId="0" xfId="0" applyAlignment="1">
      <alignment horizontal="right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left" vertical="center"/>
    </xf>
    <xf numFmtId="0" fontId="0" fillId="6" borderId="7" xfId="0" applyFill="1" applyBorder="1" applyAlignment="1">
      <alignment horizontal="center"/>
    </xf>
    <xf numFmtId="0" fontId="0" fillId="4" borderId="7" xfId="0" applyFill="1" applyBorder="1" applyAlignment="1">
      <alignment horizontal="left"/>
    </xf>
    <xf numFmtId="0" fontId="0" fillId="4" borderId="7" xfId="0" applyFill="1" applyBorder="1"/>
    <xf numFmtId="0" fontId="11" fillId="11" borderId="0" xfId="0" applyFont="1" applyFill="1" applyAlignment="1">
      <alignment horizontal="center" vertical="center" wrapText="1"/>
    </xf>
    <xf numFmtId="0" fontId="0" fillId="2" borderId="12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2" fillId="0" borderId="8" xfId="1" applyFont="1" applyFill="1" applyBorder="1" applyAlignment="1">
      <alignment horizontal="center" vertical="center"/>
    </xf>
    <xf numFmtId="0" fontId="2" fillId="5" borderId="0" xfId="1" applyFont="1" applyFill="1" applyAlignment="1">
      <alignment horizontal="center" vertical="center"/>
    </xf>
    <xf numFmtId="0" fontId="1" fillId="5" borderId="8" xfId="1" applyFill="1" applyBorder="1" applyAlignment="1">
      <alignment horizontal="center" vertical="center"/>
    </xf>
    <xf numFmtId="0" fontId="1" fillId="5" borderId="0" xfId="1" applyFill="1" applyAlignment="1">
      <alignment horizontal="center" vertical="center"/>
    </xf>
    <xf numFmtId="0" fontId="14" fillId="17" borderId="0" xfId="0" applyFont="1" applyFill="1" applyAlignment="1">
      <alignment horizontal="left" wrapText="1"/>
    </xf>
    <xf numFmtId="0" fontId="14" fillId="17" borderId="0" xfId="0" applyFont="1" applyFill="1" applyAlignment="1">
      <alignment horizontal="left"/>
    </xf>
    <xf numFmtId="0" fontId="18" fillId="18" borderId="0" xfId="2"/>
  </cellXfs>
  <cellStyles count="9">
    <cellStyle name="20% - Accent1" xfId="8" builtinId="30"/>
    <cellStyle name="20% - Accent2" xfId="7" builtinId="34"/>
    <cellStyle name="40% - Accent3" xfId="5" builtinId="39"/>
    <cellStyle name="Accent1" xfId="2" builtinId="29"/>
    <cellStyle name="Accent2" xfId="3" builtinId="33"/>
    <cellStyle name="Bad" xfId="6" builtinId="27"/>
    <cellStyle name="Calculation" xfId="4" builtinId="22"/>
    <cellStyle name="Hyperlink" xfId="1" builtinId="8"/>
    <cellStyle name="Normal" xfId="0" builtinId="0"/>
  </cellStyles>
  <dxfs count="1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FF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eetMetadata" Target="metadata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1257300</xdr:colOff>
          <xdr:row>12</xdr:row>
          <xdr:rowOff>28575</xdr:rowOff>
        </xdr:from>
        <xdr:to>
          <xdr:col>7</xdr:col>
          <xdr:colOff>38100</xdr:colOff>
          <xdr:row>15</xdr:row>
          <xdr:rowOff>95250</xdr:rowOff>
        </xdr:to>
        <xdr:sp macro="" textlink="">
          <xdr:nvSpPr>
            <xdr:cNvPr id="70660" name="cmdLoadObjects" hidden="1">
              <a:extLst>
                <a:ext uri="{63B3BB69-23CF-44E3-9099-C40C66FF867C}">
                  <a14:compatExt spid="_x0000_s70660"/>
                </a:ext>
                <a:ext uri="{FF2B5EF4-FFF2-40B4-BE49-F238E27FC236}">
                  <a16:creationId xmlns:a16="http://schemas.microsoft.com/office/drawing/2014/main" id="{00000000-0008-0000-0100-000004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161925</xdr:rowOff>
        </xdr:from>
        <xdr:to>
          <xdr:col>7</xdr:col>
          <xdr:colOff>19050</xdr:colOff>
          <xdr:row>8</xdr:row>
          <xdr:rowOff>161925</xdr:rowOff>
        </xdr:to>
        <xdr:sp macro="" textlink="">
          <xdr:nvSpPr>
            <xdr:cNvPr id="70667" name="cmdMainGenerate" hidden="1">
              <a:extLst>
                <a:ext uri="{63B3BB69-23CF-44E3-9099-C40C66FF867C}">
                  <a14:compatExt spid="_x0000_s70667"/>
                </a:ext>
                <a:ext uri="{FF2B5EF4-FFF2-40B4-BE49-F238E27FC236}">
                  <a16:creationId xmlns:a16="http://schemas.microsoft.com/office/drawing/2014/main" id="{00000000-0008-0000-0100-00000B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9</xdr:row>
          <xdr:rowOff>85725</xdr:rowOff>
        </xdr:from>
        <xdr:to>
          <xdr:col>5</xdr:col>
          <xdr:colOff>304800</xdr:colOff>
          <xdr:row>11</xdr:row>
          <xdr:rowOff>171450</xdr:rowOff>
        </xdr:to>
        <xdr:sp macro="" textlink="">
          <xdr:nvSpPr>
            <xdr:cNvPr id="70668" name="cmdClrObj" hidden="1">
              <a:extLst>
                <a:ext uri="{63B3BB69-23CF-44E3-9099-C40C66FF867C}">
                  <a14:compatExt spid="_x0000_s70668"/>
                </a:ext>
                <a:ext uri="{FF2B5EF4-FFF2-40B4-BE49-F238E27FC236}">
                  <a16:creationId xmlns:a16="http://schemas.microsoft.com/office/drawing/2014/main" id="{00000000-0008-0000-0100-00000C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171450</xdr:rowOff>
        </xdr:from>
        <xdr:to>
          <xdr:col>4</xdr:col>
          <xdr:colOff>571500</xdr:colOff>
          <xdr:row>3</xdr:row>
          <xdr:rowOff>133350</xdr:rowOff>
        </xdr:to>
        <xdr:sp macro="" textlink="">
          <xdr:nvSpPr>
            <xdr:cNvPr id="15361" name="cmdTest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8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</xdr:row>
          <xdr:rowOff>142875</xdr:rowOff>
        </xdr:from>
        <xdr:to>
          <xdr:col>1</xdr:col>
          <xdr:colOff>1771650</xdr:colOff>
          <xdr:row>4</xdr:row>
          <xdr:rowOff>0</xdr:rowOff>
        </xdr:to>
        <xdr:sp macro="" textlink="">
          <xdr:nvSpPr>
            <xdr:cNvPr id="46085" name="cmdImportAlarmTable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A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14</xdr:row>
      <xdr:rowOff>37284</xdr:rowOff>
    </xdr:from>
    <xdr:ext cx="10165695" cy="93762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 rot="20189832">
          <a:off x="0" y="2704284"/>
          <a:ext cx="10165695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Under</a:t>
          </a:r>
          <a:r>
            <a:rPr lang="en-US" sz="54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 Development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561975</xdr:colOff>
          <xdr:row>1</xdr:row>
          <xdr:rowOff>76200</xdr:rowOff>
        </xdr:from>
        <xdr:to>
          <xdr:col>0</xdr:col>
          <xdr:colOff>2705100</xdr:colOff>
          <xdr:row>3</xdr:row>
          <xdr:rowOff>142875</xdr:rowOff>
        </xdr:to>
        <xdr:sp macro="" textlink="">
          <xdr:nvSpPr>
            <xdr:cNvPr id="23554" name="cmdImportAlarm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C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1</xdr:row>
          <xdr:rowOff>57150</xdr:rowOff>
        </xdr:from>
        <xdr:to>
          <xdr:col>0</xdr:col>
          <xdr:colOff>2286000</xdr:colOff>
          <xdr:row>3</xdr:row>
          <xdr:rowOff>95250</xdr:rowOff>
        </xdr:to>
        <xdr:sp macro="" textlink="">
          <xdr:nvSpPr>
            <xdr:cNvPr id="17409" name="cmdImportEventList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D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57150</xdr:rowOff>
        </xdr:from>
        <xdr:to>
          <xdr:col>2</xdr:col>
          <xdr:colOff>76200</xdr:colOff>
          <xdr:row>2</xdr:row>
          <xdr:rowOff>142875</xdr:rowOff>
        </xdr:to>
        <xdr:sp macro="" textlink="">
          <xdr:nvSpPr>
            <xdr:cNvPr id="64513" name="chkMemmapReqd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0F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457200</xdr:colOff>
          <xdr:row>2</xdr:row>
          <xdr:rowOff>57150</xdr:rowOff>
        </xdr:from>
        <xdr:to>
          <xdr:col>9</xdr:col>
          <xdr:colOff>495300</xdr:colOff>
          <xdr:row>9</xdr:row>
          <xdr:rowOff>171450</xdr:rowOff>
        </xdr:to>
        <xdr:sp macro="" textlink="">
          <xdr:nvSpPr>
            <xdr:cNvPr id="64514" name="txtMemMapIncludeList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0F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495300</xdr:colOff>
          <xdr:row>1</xdr:row>
          <xdr:rowOff>0</xdr:rowOff>
        </xdr:from>
        <xdr:to>
          <xdr:col>9</xdr:col>
          <xdr:colOff>476250</xdr:colOff>
          <xdr:row>2</xdr:row>
          <xdr:rowOff>19050</xdr:rowOff>
        </xdr:to>
        <xdr:sp macro="" textlink="">
          <xdr:nvSpPr>
            <xdr:cNvPr id="64515" name="lblMemmapIncList" hidden="1">
              <a:extLst>
                <a:ext uri="{63B3BB69-23CF-44E3-9099-C40C66FF867C}">
                  <a14:compatExt spid="_x0000_s64515"/>
                </a:ext>
                <a:ext uri="{FF2B5EF4-FFF2-40B4-BE49-F238E27FC236}">
                  <a16:creationId xmlns:a16="http://schemas.microsoft.com/office/drawing/2014/main" id="{00000000-0008-0000-0F00-000003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57150</xdr:rowOff>
        </xdr:from>
        <xdr:to>
          <xdr:col>1</xdr:col>
          <xdr:colOff>1371600</xdr:colOff>
          <xdr:row>2</xdr:row>
          <xdr:rowOff>133350</xdr:rowOff>
        </xdr:to>
        <xdr:sp macro="" textlink="">
          <xdr:nvSpPr>
            <xdr:cNvPr id="39937" name="chkDebugRequired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0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495300</xdr:colOff>
          <xdr:row>1</xdr:row>
          <xdr:rowOff>0</xdr:rowOff>
        </xdr:from>
        <xdr:to>
          <xdr:col>8</xdr:col>
          <xdr:colOff>180975</xdr:colOff>
          <xdr:row>1</xdr:row>
          <xdr:rowOff>171450</xdr:rowOff>
        </xdr:to>
        <xdr:sp macro="" textlink="">
          <xdr:nvSpPr>
            <xdr:cNvPr id="39939" name="lblIncFileList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10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476250</xdr:colOff>
          <xdr:row>2</xdr:row>
          <xdr:rowOff>76200</xdr:rowOff>
        </xdr:from>
        <xdr:to>
          <xdr:col>10</xdr:col>
          <xdr:colOff>190500</xdr:colOff>
          <xdr:row>12</xdr:row>
          <xdr:rowOff>47625</xdr:rowOff>
        </xdr:to>
        <xdr:sp macro="" textlink="">
          <xdr:nvSpPr>
            <xdr:cNvPr id="39940" name="txtIncludeFileList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10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..\..\Appl\GenData\Os_Alarm_Lcfg.c" TargetMode="External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8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..\..\Appl\GenData\Os_Types_Lcfg.h" TargetMode="Externa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9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..\..\Appl\GenData\Os_Cfg.h" TargetMode="External"/><Relationship Id="rId6" Type="http://schemas.openxmlformats.org/officeDocument/2006/relationships/image" Target="../media/image7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10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1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0"/>
  <dimension ref="B2:H87"/>
  <sheetViews>
    <sheetView topLeftCell="A19" workbookViewId="0">
      <selection activeCell="G9" sqref="G9"/>
    </sheetView>
  </sheetViews>
  <sheetFormatPr defaultRowHeight="15" x14ac:dyDescent="0.25"/>
  <cols>
    <col min="3" max="3" width="27" customWidth="1"/>
    <col min="4" max="4" width="15.42578125" customWidth="1"/>
    <col min="5" max="5" width="73.42578125" customWidth="1"/>
  </cols>
  <sheetData>
    <row r="2" spans="2:8" ht="101.25" customHeight="1" x14ac:dyDescent="0.25">
      <c r="C2" s="177" t="s">
        <v>1107</v>
      </c>
      <c r="D2" s="177"/>
      <c r="E2" s="177"/>
      <c r="F2" s="177"/>
      <c r="G2" s="177"/>
      <c r="H2" s="177"/>
    </row>
    <row r="3" spans="2:8" x14ac:dyDescent="0.25">
      <c r="C3" s="53"/>
    </row>
    <row r="4" spans="2:8" x14ac:dyDescent="0.25">
      <c r="B4" s="63" t="s">
        <v>897</v>
      </c>
      <c r="C4" s="64"/>
    </row>
    <row r="5" spans="2:8" x14ac:dyDescent="0.25">
      <c r="B5" s="52"/>
      <c r="C5" s="65" t="s">
        <v>905</v>
      </c>
      <c r="D5" s="66"/>
      <c r="E5" s="66"/>
    </row>
    <row r="6" spans="2:8" x14ac:dyDescent="0.25">
      <c r="B6" s="52"/>
      <c r="C6" s="65" t="s">
        <v>906</v>
      </c>
      <c r="D6" s="66"/>
      <c r="E6" s="66"/>
    </row>
    <row r="7" spans="2:8" x14ac:dyDescent="0.25">
      <c r="B7">
        <v>1</v>
      </c>
      <c r="C7" t="s">
        <v>896</v>
      </c>
    </row>
    <row r="8" spans="2:8" x14ac:dyDescent="0.25">
      <c r="B8">
        <v>2</v>
      </c>
      <c r="C8" t="s">
        <v>898</v>
      </c>
    </row>
    <row r="9" spans="2:8" x14ac:dyDescent="0.25">
      <c r="D9" s="62" t="s">
        <v>899</v>
      </c>
    </row>
    <row r="10" spans="2:8" x14ac:dyDescent="0.25">
      <c r="E10" t="s">
        <v>891</v>
      </c>
    </row>
    <row r="11" spans="2:8" x14ac:dyDescent="0.25">
      <c r="E11" t="s">
        <v>900</v>
      </c>
    </row>
    <row r="12" spans="2:8" x14ac:dyDescent="0.25">
      <c r="E12" t="s">
        <v>901</v>
      </c>
    </row>
    <row r="13" spans="2:8" x14ac:dyDescent="0.25">
      <c r="E13" t="s">
        <v>902</v>
      </c>
    </row>
    <row r="14" spans="2:8" x14ac:dyDescent="0.25">
      <c r="E14" t="s">
        <v>903</v>
      </c>
    </row>
    <row r="15" spans="2:8" x14ac:dyDescent="0.25">
      <c r="B15">
        <v>3</v>
      </c>
      <c r="C15" s="62" t="s">
        <v>0</v>
      </c>
      <c r="D15" t="s">
        <v>909</v>
      </c>
    </row>
    <row r="16" spans="2:8" x14ac:dyDescent="0.25">
      <c r="D16" t="s">
        <v>904</v>
      </c>
    </row>
    <row r="17" spans="2:4" x14ac:dyDescent="0.25">
      <c r="D17" t="s">
        <v>907</v>
      </c>
    </row>
    <row r="18" spans="2:4" x14ac:dyDescent="0.25">
      <c r="B18">
        <v>4</v>
      </c>
      <c r="C18" s="62" t="s">
        <v>1</v>
      </c>
      <c r="D18" t="s">
        <v>908</v>
      </c>
    </row>
    <row r="19" spans="2:4" x14ac:dyDescent="0.25">
      <c r="B19">
        <v>5</v>
      </c>
      <c r="C19" t="s">
        <v>2</v>
      </c>
      <c r="D19" t="s">
        <v>910</v>
      </c>
    </row>
    <row r="20" spans="2:4" x14ac:dyDescent="0.25">
      <c r="B20">
        <v>6</v>
      </c>
      <c r="C20" t="s">
        <v>911</v>
      </c>
      <c r="D20" t="s">
        <v>912</v>
      </c>
    </row>
    <row r="21" spans="2:4" x14ac:dyDescent="0.25">
      <c r="B21">
        <v>7</v>
      </c>
      <c r="C21" t="s">
        <v>12</v>
      </c>
      <c r="D21" t="s">
        <v>913</v>
      </c>
    </row>
    <row r="22" spans="2:4" x14ac:dyDescent="0.25">
      <c r="B22">
        <v>8</v>
      </c>
      <c r="C22" t="s">
        <v>682</v>
      </c>
      <c r="D22" t="s">
        <v>914</v>
      </c>
    </row>
    <row r="25" spans="2:4" x14ac:dyDescent="0.25">
      <c r="B25" s="63" t="s">
        <v>895</v>
      </c>
      <c r="C25" s="64"/>
    </row>
    <row r="27" spans="2:4" x14ac:dyDescent="0.25">
      <c r="B27">
        <v>1</v>
      </c>
      <c r="C27" t="s">
        <v>915</v>
      </c>
      <c r="D27" t="s">
        <v>916</v>
      </c>
    </row>
    <row r="28" spans="2:4" x14ac:dyDescent="0.25">
      <c r="B28">
        <v>2</v>
      </c>
      <c r="C28" t="s">
        <v>3</v>
      </c>
      <c r="D28" t="s">
        <v>917</v>
      </c>
    </row>
    <row r="29" spans="2:4" x14ac:dyDescent="0.25">
      <c r="B29">
        <v>3</v>
      </c>
      <c r="C29" t="s">
        <v>835</v>
      </c>
      <c r="D29" t="s">
        <v>918</v>
      </c>
    </row>
    <row r="30" spans="2:4" x14ac:dyDescent="0.25">
      <c r="B30">
        <v>4</v>
      </c>
      <c r="C30" t="s">
        <v>5</v>
      </c>
      <c r="D30" t="s">
        <v>919</v>
      </c>
    </row>
    <row r="31" spans="2:4" x14ac:dyDescent="0.25">
      <c r="B31">
        <v>5</v>
      </c>
      <c r="C31" t="s">
        <v>6</v>
      </c>
      <c r="D31" t="s">
        <v>1103</v>
      </c>
    </row>
    <row r="32" spans="2:4" x14ac:dyDescent="0.25">
      <c r="B32">
        <v>6</v>
      </c>
      <c r="C32" t="s">
        <v>920</v>
      </c>
      <c r="D32" t="s">
        <v>921</v>
      </c>
    </row>
    <row r="33" spans="2:4" x14ac:dyDescent="0.25">
      <c r="B33">
        <v>7</v>
      </c>
      <c r="C33" t="s">
        <v>4</v>
      </c>
      <c r="D33" t="s">
        <v>922</v>
      </c>
    </row>
    <row r="36" spans="2:4" x14ac:dyDescent="0.25">
      <c r="B36" s="63" t="s">
        <v>923</v>
      </c>
      <c r="C36" s="64"/>
    </row>
    <row r="37" spans="2:4" x14ac:dyDescent="0.25">
      <c r="C37" t="s">
        <v>1104</v>
      </c>
    </row>
    <row r="38" spans="2:4" x14ac:dyDescent="0.25">
      <c r="B38">
        <v>1</v>
      </c>
      <c r="C38" t="s">
        <v>924</v>
      </c>
      <c r="D38" t="s">
        <v>925</v>
      </c>
    </row>
    <row r="39" spans="2:4" x14ac:dyDescent="0.25">
      <c r="B39">
        <v>2</v>
      </c>
      <c r="C39" t="s">
        <v>926</v>
      </c>
      <c r="D39" t="s">
        <v>927</v>
      </c>
    </row>
    <row r="40" spans="2:4" x14ac:dyDescent="0.25">
      <c r="B40">
        <v>3</v>
      </c>
      <c r="C40" t="s">
        <v>30</v>
      </c>
      <c r="D40" t="s">
        <v>928</v>
      </c>
    </row>
    <row r="41" spans="2:4" x14ac:dyDescent="0.25">
      <c r="B41">
        <v>4</v>
      </c>
      <c r="C41" t="s">
        <v>929</v>
      </c>
      <c r="D41" t="s">
        <v>930</v>
      </c>
    </row>
    <row r="42" spans="2:4" x14ac:dyDescent="0.25">
      <c r="B42">
        <v>5</v>
      </c>
      <c r="C42" t="s">
        <v>32</v>
      </c>
      <c r="D42" t="s">
        <v>34</v>
      </c>
    </row>
    <row r="43" spans="2:4" x14ac:dyDescent="0.25">
      <c r="B43">
        <v>6</v>
      </c>
      <c r="C43" s="62" t="s">
        <v>1108</v>
      </c>
      <c r="D43" t="s">
        <v>1109</v>
      </c>
    </row>
    <row r="44" spans="2:4" x14ac:dyDescent="0.25">
      <c r="C44" t="s">
        <v>1114</v>
      </c>
    </row>
    <row r="46" spans="2:4" x14ac:dyDescent="0.25">
      <c r="B46" s="63" t="s">
        <v>931</v>
      </c>
      <c r="C46" s="64"/>
    </row>
    <row r="47" spans="2:4" x14ac:dyDescent="0.25">
      <c r="C47" t="s">
        <v>1112</v>
      </c>
    </row>
    <row r="48" spans="2:4" x14ac:dyDescent="0.25">
      <c r="C48" s="53"/>
    </row>
    <row r="49" spans="2:4" x14ac:dyDescent="0.25">
      <c r="B49" s="63" t="s">
        <v>932</v>
      </c>
      <c r="C49" s="64"/>
    </row>
    <row r="50" spans="2:4" x14ac:dyDescent="0.25">
      <c r="C50" s="49" t="s">
        <v>933</v>
      </c>
    </row>
    <row r="51" spans="2:4" x14ac:dyDescent="0.25">
      <c r="C51" s="49" t="s">
        <v>934</v>
      </c>
    </row>
    <row r="53" spans="2:4" x14ac:dyDescent="0.25">
      <c r="B53">
        <v>1</v>
      </c>
      <c r="C53" t="s">
        <v>935</v>
      </c>
      <c r="D53" t="s">
        <v>936</v>
      </c>
    </row>
    <row r="54" spans="2:4" x14ac:dyDescent="0.25">
      <c r="B54">
        <v>2</v>
      </c>
      <c r="C54" t="s">
        <v>937</v>
      </c>
      <c r="D54" t="s">
        <v>938</v>
      </c>
    </row>
    <row r="55" spans="2:4" x14ac:dyDescent="0.25">
      <c r="B55">
        <v>3</v>
      </c>
      <c r="C55" t="s">
        <v>939</v>
      </c>
      <c r="D55" t="s">
        <v>940</v>
      </c>
    </row>
    <row r="56" spans="2:4" x14ac:dyDescent="0.25">
      <c r="B56">
        <v>4</v>
      </c>
      <c r="C56" t="s">
        <v>134</v>
      </c>
      <c r="D56" t="s">
        <v>941</v>
      </c>
    </row>
    <row r="57" spans="2:4" x14ac:dyDescent="0.25">
      <c r="B57">
        <v>5</v>
      </c>
      <c r="C57" t="s">
        <v>942</v>
      </c>
      <c r="D57" t="s">
        <v>943</v>
      </c>
    </row>
    <row r="58" spans="2:4" x14ac:dyDescent="0.25">
      <c r="B58">
        <v>6</v>
      </c>
      <c r="C58" t="s">
        <v>136</v>
      </c>
      <c r="D58" t="s">
        <v>944</v>
      </c>
    </row>
    <row r="59" spans="2:4" x14ac:dyDescent="0.25">
      <c r="B59">
        <v>7</v>
      </c>
      <c r="C59" t="s">
        <v>137</v>
      </c>
      <c r="D59" t="s">
        <v>945</v>
      </c>
    </row>
    <row r="60" spans="2:4" x14ac:dyDescent="0.25">
      <c r="B60">
        <v>8</v>
      </c>
      <c r="C60" t="s">
        <v>138</v>
      </c>
      <c r="D60" t="s">
        <v>946</v>
      </c>
    </row>
    <row r="61" spans="2:4" x14ac:dyDescent="0.25">
      <c r="B61">
        <v>9</v>
      </c>
      <c r="C61" t="s">
        <v>139</v>
      </c>
      <c r="D61" t="s">
        <v>947</v>
      </c>
    </row>
    <row r="62" spans="2:4" x14ac:dyDescent="0.25">
      <c r="B62">
        <v>10</v>
      </c>
      <c r="C62" t="s">
        <v>835</v>
      </c>
      <c r="D62" t="s">
        <v>948</v>
      </c>
    </row>
    <row r="63" spans="2:4" x14ac:dyDescent="0.25">
      <c r="B63">
        <v>11</v>
      </c>
      <c r="C63" t="s">
        <v>4</v>
      </c>
      <c r="D63" t="s">
        <v>949</v>
      </c>
    </row>
    <row r="65" spans="2:4" x14ac:dyDescent="0.25">
      <c r="B65" s="63" t="s">
        <v>950</v>
      </c>
      <c r="C65" s="64"/>
    </row>
    <row r="66" spans="2:4" x14ac:dyDescent="0.25">
      <c r="B66">
        <v>1</v>
      </c>
      <c r="C66" t="s">
        <v>951</v>
      </c>
      <c r="D66" t="s">
        <v>952</v>
      </c>
    </row>
    <row r="67" spans="2:4" x14ac:dyDescent="0.25">
      <c r="B67">
        <v>2</v>
      </c>
      <c r="C67" t="s">
        <v>691</v>
      </c>
      <c r="D67" t="s">
        <v>953</v>
      </c>
    </row>
    <row r="68" spans="2:4" x14ac:dyDescent="0.25">
      <c r="B68">
        <v>3</v>
      </c>
      <c r="C68" t="s">
        <v>692</v>
      </c>
      <c r="D68" t="s">
        <v>954</v>
      </c>
    </row>
    <row r="69" spans="2:4" x14ac:dyDescent="0.25">
      <c r="B69">
        <v>4</v>
      </c>
      <c r="C69" t="s">
        <v>693</v>
      </c>
      <c r="D69" t="s">
        <v>955</v>
      </c>
    </row>
    <row r="71" spans="2:4" x14ac:dyDescent="0.25">
      <c r="B71" s="63" t="s">
        <v>1171</v>
      </c>
      <c r="C71" s="64"/>
    </row>
    <row r="72" spans="2:4" x14ac:dyDescent="0.25">
      <c r="B72">
        <v>1</v>
      </c>
      <c r="C72" t="s">
        <v>1172</v>
      </c>
      <c r="D72" t="s">
        <v>1173</v>
      </c>
    </row>
    <row r="73" spans="2:4" x14ac:dyDescent="0.25">
      <c r="B73">
        <v>2</v>
      </c>
      <c r="C73" t="s">
        <v>1174</v>
      </c>
      <c r="D73" t="s">
        <v>1179</v>
      </c>
    </row>
    <row r="74" spans="2:4" x14ac:dyDescent="0.25">
      <c r="D74" t="s">
        <v>1175</v>
      </c>
    </row>
    <row r="75" spans="2:4" x14ac:dyDescent="0.25">
      <c r="B75">
        <v>3</v>
      </c>
      <c r="C75" t="s">
        <v>1176</v>
      </c>
      <c r="D75" t="s">
        <v>1177</v>
      </c>
    </row>
    <row r="76" spans="2:4" x14ac:dyDescent="0.25">
      <c r="D76" t="s">
        <v>1178</v>
      </c>
    </row>
    <row r="77" spans="2:4" x14ac:dyDescent="0.25">
      <c r="B77" t="s">
        <v>1180</v>
      </c>
      <c r="C77" t="s">
        <v>1181</v>
      </c>
    </row>
    <row r="79" spans="2:4" x14ac:dyDescent="0.25">
      <c r="B79" s="63" t="s">
        <v>1105</v>
      </c>
      <c r="C79" s="64"/>
    </row>
    <row r="80" spans="2:4" x14ac:dyDescent="0.25">
      <c r="C80" t="s">
        <v>1106</v>
      </c>
    </row>
    <row r="81" spans="2:3" x14ac:dyDescent="0.25">
      <c r="C81" t="s">
        <v>1113</v>
      </c>
    </row>
    <row r="82" spans="2:3" x14ac:dyDescent="0.25">
      <c r="C82" t="s">
        <v>1111</v>
      </c>
    </row>
    <row r="83" spans="2:3" x14ac:dyDescent="0.25">
      <c r="C83" t="s">
        <v>1110</v>
      </c>
    </row>
    <row r="87" spans="2:3" x14ac:dyDescent="0.25">
      <c r="B87" t="s">
        <v>1116</v>
      </c>
      <c r="C87" s="67" t="s">
        <v>1117</v>
      </c>
    </row>
  </sheetData>
  <mergeCells count="1">
    <mergeCell ref="C2:H2"/>
  </mergeCells>
  <hyperlinks>
    <hyperlink ref="D9" location="Task!C4" display="Supported CPUs" xr:uid="{00000000-0004-0000-0000-000000000000}"/>
    <hyperlink ref="C15" location="Task!C5" display="Number Of Tasks" xr:uid="{00000000-0004-0000-0000-000001000000}"/>
    <hyperlink ref="C18" location="Task!C6" display="Number Of Alarms" xr:uid="{00000000-0004-0000-0000-000002000000}"/>
    <hyperlink ref="C43" location="Alarms!F12" display="Alarms" xr:uid="{00000000-0004-0000-0000-000003000000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5">
    <tabColor rgb="FFFFFF00"/>
  </sheetPr>
  <dimension ref="A1:E73"/>
  <sheetViews>
    <sheetView zoomScaleNormal="100" workbookViewId="0">
      <selection activeCell="J18" sqref="J18"/>
    </sheetView>
  </sheetViews>
  <sheetFormatPr defaultColWidth="8.7109375" defaultRowHeight="15" x14ac:dyDescent="0.25"/>
  <cols>
    <col min="1" max="1" width="8.7109375" style="3"/>
    <col min="2" max="2" width="29.85546875" style="1" customWidth="1"/>
    <col min="3" max="3" width="27.7109375" style="1" customWidth="1"/>
    <col min="4" max="4" width="19" style="1" customWidth="1"/>
    <col min="5" max="5" width="35.28515625" style="1" bestFit="1" customWidth="1"/>
    <col min="6" max="16384" width="8.7109375" style="1"/>
  </cols>
  <sheetData>
    <row r="1" spans="2:5" ht="15.75" thickBot="1" x14ac:dyDescent="0.3"/>
    <row r="2" spans="2:5" x14ac:dyDescent="0.25">
      <c r="B2" s="95" t="s">
        <v>8</v>
      </c>
      <c r="C2" s="7" t="s">
        <v>2100</v>
      </c>
      <c r="E2" s="102" t="s">
        <v>2064</v>
      </c>
    </row>
    <row r="3" spans="2:5" x14ac:dyDescent="0.25">
      <c r="B3" s="96" t="s">
        <v>0</v>
      </c>
      <c r="C3" s="98">
        <f>Task!C5</f>
        <v>31</v>
      </c>
    </row>
    <row r="4" spans="2:5" x14ac:dyDescent="0.25">
      <c r="B4" s="96" t="s">
        <v>1</v>
      </c>
      <c r="C4" s="98">
        <f>Task!C6</f>
        <v>95</v>
      </c>
    </row>
    <row r="5" spans="2:5" x14ac:dyDescent="0.25">
      <c r="B5" s="96" t="s">
        <v>2021</v>
      </c>
      <c r="C5" s="98">
        <f>ISR!B8</f>
        <v>25</v>
      </c>
    </row>
    <row r="6" spans="2:5" x14ac:dyDescent="0.25">
      <c r="B6" s="96" t="s">
        <v>2041</v>
      </c>
      <c r="C6" s="98">
        <v>56</v>
      </c>
    </row>
    <row r="7" spans="2:5" x14ac:dyDescent="0.25">
      <c r="B7" s="96" t="s">
        <v>12</v>
      </c>
      <c r="C7" s="9" t="s">
        <v>13</v>
      </c>
    </row>
    <row r="8" spans="2:5" x14ac:dyDescent="0.25">
      <c r="B8" s="96" t="s">
        <v>682</v>
      </c>
      <c r="C8" s="98">
        <f>COUNT(Counters!A2:A25)</f>
        <v>2</v>
      </c>
    </row>
    <row r="9" spans="2:5" x14ac:dyDescent="0.25">
      <c r="B9" s="96" t="s">
        <v>2018</v>
      </c>
      <c r="C9" s="101">
        <f>COUNT(OsCore!A10:A22)</f>
        <v>1</v>
      </c>
    </row>
    <row r="10" spans="2:5" x14ac:dyDescent="0.25">
      <c r="B10" s="96" t="s">
        <v>2019</v>
      </c>
      <c r="C10" s="101">
        <f>OsApplication!C2</f>
        <v>3</v>
      </c>
    </row>
    <row r="11" spans="2:5" x14ac:dyDescent="0.25">
      <c r="B11" s="96" t="s">
        <v>2039</v>
      </c>
      <c r="C11" s="101">
        <f>MpuContainer!B2</f>
        <v>3</v>
      </c>
    </row>
    <row r="12" spans="2:5" x14ac:dyDescent="0.25">
      <c r="B12" s="96" t="s">
        <v>2058</v>
      </c>
      <c r="C12" s="101">
        <f>TrustedFunctions!C3</f>
        <v>17.999999999999975</v>
      </c>
    </row>
    <row r="13" spans="2:5" x14ac:dyDescent="0.25">
      <c r="B13" s="96" t="s">
        <v>2060</v>
      </c>
      <c r="C13" s="93" t="s">
        <v>2061</v>
      </c>
    </row>
    <row r="14" spans="2:5" ht="15.75" thickBot="1" x14ac:dyDescent="0.3">
      <c r="B14" s="97" t="s">
        <v>2062</v>
      </c>
      <c r="C14" s="94" t="s">
        <v>2861</v>
      </c>
    </row>
    <row r="16" spans="2:5" ht="15.75" thickBot="1" x14ac:dyDescent="0.3"/>
    <row r="17" spans="1:5" x14ac:dyDescent="0.25">
      <c r="A17" s="86" t="s">
        <v>699</v>
      </c>
      <c r="B17" s="87" t="s">
        <v>2020</v>
      </c>
      <c r="C17" s="87" t="s">
        <v>2023</v>
      </c>
      <c r="D17" s="87" t="s">
        <v>2022</v>
      </c>
      <c r="E17" s="88" t="s">
        <v>2024</v>
      </c>
    </row>
    <row r="18" spans="1:5" x14ac:dyDescent="0.25">
      <c r="A18" s="14">
        <v>0</v>
      </c>
      <c r="B18" s="84" t="s">
        <v>2902</v>
      </c>
      <c r="C18" s="84" t="s">
        <v>2548</v>
      </c>
      <c r="D18" s="48" t="s">
        <v>2042</v>
      </c>
      <c r="E18" s="85" t="s">
        <v>2549</v>
      </c>
    </row>
    <row r="19" spans="1:5" x14ac:dyDescent="0.25">
      <c r="A19" s="14">
        <v>1</v>
      </c>
      <c r="B19" s="84" t="s">
        <v>2904</v>
      </c>
      <c r="C19" s="84" t="s">
        <v>2548</v>
      </c>
      <c r="D19" s="48" t="s">
        <v>2042</v>
      </c>
      <c r="E19" s="85" t="s">
        <v>2549</v>
      </c>
    </row>
    <row r="20" spans="1:5" x14ac:dyDescent="0.25">
      <c r="A20" s="14">
        <v>2</v>
      </c>
      <c r="B20" s="84" t="s">
        <v>2046</v>
      </c>
      <c r="C20" s="84" t="s">
        <v>2040</v>
      </c>
      <c r="D20" s="48" t="s">
        <v>2042</v>
      </c>
      <c r="E20" s="85" t="s">
        <v>2036</v>
      </c>
    </row>
    <row r="21" spans="1:5" x14ac:dyDescent="0.25">
      <c r="A21" s="14">
        <v>3</v>
      </c>
      <c r="B21" s="84" t="s">
        <v>2775</v>
      </c>
      <c r="C21" s="84" t="s">
        <v>2548</v>
      </c>
      <c r="D21" s="48" t="s">
        <v>2042</v>
      </c>
      <c r="E21" s="85" t="s">
        <v>2549</v>
      </c>
    </row>
    <row r="22" spans="1:5" x14ac:dyDescent="0.25">
      <c r="A22" s="14">
        <v>4</v>
      </c>
      <c r="B22" s="84" t="s">
        <v>2773</v>
      </c>
      <c r="C22" s="84" t="s">
        <v>2548</v>
      </c>
      <c r="D22" s="48" t="s">
        <v>2042</v>
      </c>
      <c r="E22" s="85" t="s">
        <v>2549</v>
      </c>
    </row>
    <row r="23" spans="1:5" x14ac:dyDescent="0.25">
      <c r="A23" s="14">
        <v>5</v>
      </c>
      <c r="B23" s="84" t="s">
        <v>2048</v>
      </c>
      <c r="C23" s="84" t="s">
        <v>2548</v>
      </c>
      <c r="D23" s="48" t="s">
        <v>2042</v>
      </c>
      <c r="E23" s="85" t="s">
        <v>2549</v>
      </c>
    </row>
    <row r="24" spans="1:5" x14ac:dyDescent="0.25">
      <c r="A24" s="14">
        <v>6</v>
      </c>
      <c r="B24" s="84" t="s">
        <v>2777</v>
      </c>
      <c r="C24" s="84" t="s">
        <v>2548</v>
      </c>
      <c r="D24" s="48" t="s">
        <v>2042</v>
      </c>
      <c r="E24" s="85" t="s">
        <v>2549</v>
      </c>
    </row>
    <row r="25" spans="1:5" x14ac:dyDescent="0.25">
      <c r="A25" s="14">
        <v>7</v>
      </c>
      <c r="B25" s="84" t="s">
        <v>2779</v>
      </c>
      <c r="C25" s="84" t="s">
        <v>2548</v>
      </c>
      <c r="D25" s="48" t="s">
        <v>2042</v>
      </c>
      <c r="E25" s="85" t="s">
        <v>2549</v>
      </c>
    </row>
    <row r="26" spans="1:5" x14ac:dyDescent="0.25">
      <c r="A26" s="14">
        <v>8</v>
      </c>
      <c r="B26" s="84" t="s">
        <v>2781</v>
      </c>
      <c r="C26" s="84" t="s">
        <v>2548</v>
      </c>
      <c r="D26" s="48" t="s">
        <v>2042</v>
      </c>
      <c r="E26" s="85" t="s">
        <v>2549</v>
      </c>
    </row>
    <row r="27" spans="1:5" x14ac:dyDescent="0.25">
      <c r="A27" s="14">
        <v>9</v>
      </c>
      <c r="B27" s="84" t="s">
        <v>2808</v>
      </c>
      <c r="C27" s="84" t="s">
        <v>2548</v>
      </c>
      <c r="D27" s="48" t="s">
        <v>2042</v>
      </c>
      <c r="E27" s="85" t="s">
        <v>2549</v>
      </c>
    </row>
    <row r="28" spans="1:5" x14ac:dyDescent="0.25">
      <c r="A28" s="14">
        <v>10</v>
      </c>
      <c r="B28" s="84" t="s">
        <v>2974</v>
      </c>
      <c r="C28" s="84" t="s">
        <v>2548</v>
      </c>
      <c r="D28" s="48" t="s">
        <v>2042</v>
      </c>
      <c r="E28" s="85" t="s">
        <v>2549</v>
      </c>
    </row>
    <row r="29" spans="1:5" x14ac:dyDescent="0.25">
      <c r="A29" s="14">
        <v>11</v>
      </c>
      <c r="B29" s="84" t="s">
        <v>2790</v>
      </c>
      <c r="C29" s="84" t="s">
        <v>2548</v>
      </c>
      <c r="D29" s="48" t="s">
        <v>2042</v>
      </c>
      <c r="E29" s="85" t="s">
        <v>2549</v>
      </c>
    </row>
    <row r="30" spans="1:5" x14ac:dyDescent="0.25">
      <c r="A30" s="14">
        <v>12</v>
      </c>
      <c r="B30" s="84" t="s">
        <v>2976</v>
      </c>
      <c r="C30" s="84" t="s">
        <v>2548</v>
      </c>
      <c r="D30" s="48" t="s">
        <v>2042</v>
      </c>
      <c r="E30" s="85" t="s">
        <v>2549</v>
      </c>
    </row>
    <row r="31" spans="1:5" x14ac:dyDescent="0.25">
      <c r="A31" s="14">
        <v>13</v>
      </c>
      <c r="B31" s="84" t="s">
        <v>2978</v>
      </c>
      <c r="C31" s="84" t="s">
        <v>2548</v>
      </c>
      <c r="D31" s="48" t="s">
        <v>2042</v>
      </c>
      <c r="E31" s="85" t="s">
        <v>2549</v>
      </c>
    </row>
    <row r="32" spans="1:5" x14ac:dyDescent="0.25">
      <c r="A32" s="14">
        <v>14</v>
      </c>
      <c r="B32" s="84" t="s">
        <v>2980</v>
      </c>
      <c r="C32" s="84" t="s">
        <v>2548</v>
      </c>
      <c r="D32" s="48" t="s">
        <v>2042</v>
      </c>
      <c r="E32" s="85" t="s">
        <v>2549</v>
      </c>
    </row>
    <row r="33" spans="1:5" x14ac:dyDescent="0.25">
      <c r="A33" s="14">
        <v>15</v>
      </c>
      <c r="B33" s="84" t="s">
        <v>2982</v>
      </c>
      <c r="C33" s="84" t="s">
        <v>2548</v>
      </c>
      <c r="D33" s="48" t="s">
        <v>2042</v>
      </c>
      <c r="E33" s="85" t="s">
        <v>2549</v>
      </c>
    </row>
    <row r="34" spans="1:5" x14ac:dyDescent="0.25">
      <c r="A34" s="14">
        <v>16</v>
      </c>
      <c r="B34" s="84" t="s">
        <v>2985</v>
      </c>
      <c r="C34" s="84" t="s">
        <v>2548</v>
      </c>
      <c r="D34" s="48" t="s">
        <v>2042</v>
      </c>
      <c r="E34" s="85" t="s">
        <v>2549</v>
      </c>
    </row>
    <row r="35" spans="1:5" x14ac:dyDescent="0.25">
      <c r="A35" s="14">
        <v>17</v>
      </c>
      <c r="B35" s="84" t="s">
        <v>2988</v>
      </c>
      <c r="C35" s="84" t="s">
        <v>2548</v>
      </c>
      <c r="D35" s="48" t="s">
        <v>2042</v>
      </c>
      <c r="E35" s="85" t="s">
        <v>2549</v>
      </c>
    </row>
    <row r="36" spans="1:5" x14ac:dyDescent="0.25">
      <c r="A36" s="14">
        <v>18</v>
      </c>
      <c r="B36" s="84" t="s">
        <v>2783</v>
      </c>
      <c r="C36" s="84" t="s">
        <v>2548</v>
      </c>
      <c r="D36" s="48" t="s">
        <v>2042</v>
      </c>
      <c r="E36" s="85" t="s">
        <v>2549</v>
      </c>
    </row>
    <row r="37" spans="1:5" x14ac:dyDescent="0.25">
      <c r="A37" s="14">
        <v>19</v>
      </c>
      <c r="B37" s="84" t="s">
        <v>2992</v>
      </c>
      <c r="C37" s="84" t="s">
        <v>2548</v>
      </c>
      <c r="D37" s="48" t="s">
        <v>2042</v>
      </c>
      <c r="E37" s="85" t="s">
        <v>2549</v>
      </c>
    </row>
    <row r="38" spans="1:5" x14ac:dyDescent="0.25">
      <c r="A38" s="14">
        <v>20</v>
      </c>
      <c r="B38" s="84" t="s">
        <v>2794</v>
      </c>
      <c r="C38" s="84" t="s">
        <v>2548</v>
      </c>
      <c r="D38" s="48" t="s">
        <v>2042</v>
      </c>
      <c r="E38" s="85" t="s">
        <v>2549</v>
      </c>
    </row>
    <row r="39" spans="1:5" x14ac:dyDescent="0.25">
      <c r="A39" s="14">
        <v>21</v>
      </c>
      <c r="B39" s="84" t="s">
        <v>2900</v>
      </c>
      <c r="C39" s="84" t="s">
        <v>2548</v>
      </c>
      <c r="D39" s="48" t="s">
        <v>2042</v>
      </c>
      <c r="E39" s="85" t="s">
        <v>2549</v>
      </c>
    </row>
    <row r="40" spans="1:5" x14ac:dyDescent="0.25">
      <c r="A40" s="14">
        <v>22</v>
      </c>
      <c r="B40" s="84" t="s">
        <v>2899</v>
      </c>
      <c r="C40" s="84" t="s">
        <v>2548</v>
      </c>
      <c r="D40" s="48" t="s">
        <v>2042</v>
      </c>
      <c r="E40" s="85" t="s">
        <v>2549</v>
      </c>
    </row>
    <row r="41" spans="1:5" x14ac:dyDescent="0.25">
      <c r="A41" s="14">
        <v>23</v>
      </c>
      <c r="B41" s="84" t="s">
        <v>2901</v>
      </c>
      <c r="C41" s="84" t="s">
        <v>2548</v>
      </c>
      <c r="D41" s="48" t="s">
        <v>2042</v>
      </c>
      <c r="E41" s="85" t="s">
        <v>2549</v>
      </c>
    </row>
    <row r="42" spans="1:5" x14ac:dyDescent="0.25">
      <c r="A42" s="14">
        <v>24</v>
      </c>
      <c r="B42" s="84" t="s">
        <v>2544</v>
      </c>
      <c r="C42" s="84" t="s">
        <v>2040</v>
      </c>
      <c r="D42" s="48" t="s">
        <v>2042</v>
      </c>
      <c r="E42" s="85" t="s">
        <v>2036</v>
      </c>
    </row>
    <row r="43" spans="1:5" x14ac:dyDescent="0.25">
      <c r="A43" s="14">
        <v>25</v>
      </c>
      <c r="B43" s="84" t="s">
        <v>2997</v>
      </c>
      <c r="C43" s="84" t="s">
        <v>2040</v>
      </c>
      <c r="D43" s="48" t="s">
        <v>2042</v>
      </c>
      <c r="E43" s="85" t="s">
        <v>2036</v>
      </c>
    </row>
    <row r="44" spans="1:5" x14ac:dyDescent="0.25">
      <c r="A44" s="14">
        <v>26</v>
      </c>
      <c r="B44" s="84" t="s">
        <v>2771</v>
      </c>
      <c r="C44" s="84" t="s">
        <v>2040</v>
      </c>
      <c r="D44" s="48" t="s">
        <v>2042</v>
      </c>
      <c r="E44" s="85" t="s">
        <v>2036</v>
      </c>
    </row>
    <row r="45" spans="1:5" x14ac:dyDescent="0.25">
      <c r="A45" s="14">
        <v>27</v>
      </c>
      <c r="B45" s="84" t="s">
        <v>2908</v>
      </c>
      <c r="C45" s="84" t="s">
        <v>2040</v>
      </c>
      <c r="D45" s="48" t="s">
        <v>2042</v>
      </c>
      <c r="E45" s="85" t="s">
        <v>2036</v>
      </c>
    </row>
    <row r="46" spans="1:5" x14ac:dyDescent="0.25">
      <c r="A46" s="14">
        <v>28</v>
      </c>
      <c r="B46" s="84" t="s">
        <v>3000</v>
      </c>
      <c r="C46" s="84" t="s">
        <v>2867</v>
      </c>
      <c r="D46" s="48" t="s">
        <v>2042</v>
      </c>
      <c r="E46" s="85" t="s">
        <v>2868</v>
      </c>
    </row>
    <row r="47" spans="1:5" x14ac:dyDescent="0.25">
      <c r="A47" s="14">
        <v>29</v>
      </c>
      <c r="B47" s="84" t="s">
        <v>3002</v>
      </c>
      <c r="C47" s="84" t="s">
        <v>2867</v>
      </c>
      <c r="D47" s="48" t="s">
        <v>2042</v>
      </c>
      <c r="E47" s="85" t="s">
        <v>2868</v>
      </c>
    </row>
    <row r="48" spans="1:5" x14ac:dyDescent="0.25">
      <c r="A48" s="14">
        <v>30</v>
      </c>
      <c r="B48" s="84" t="s">
        <v>3004</v>
      </c>
      <c r="C48" s="84" t="s">
        <v>2867</v>
      </c>
      <c r="D48" s="48" t="s">
        <v>2042</v>
      </c>
      <c r="E48" s="85" t="s">
        <v>2868</v>
      </c>
    </row>
    <row r="49" spans="1:5" x14ac:dyDescent="0.25">
      <c r="A49" s="14">
        <v>31</v>
      </c>
      <c r="B49" s="84" t="s">
        <v>892</v>
      </c>
      <c r="C49" s="84" t="s">
        <v>2040</v>
      </c>
      <c r="D49" s="48" t="s">
        <v>2043</v>
      </c>
      <c r="E49" s="85" t="s">
        <v>2036</v>
      </c>
    </row>
    <row r="50" spans="1:5" x14ac:dyDescent="0.25">
      <c r="A50" s="14">
        <v>32</v>
      </c>
      <c r="B50" s="84" t="s">
        <v>3008</v>
      </c>
      <c r="C50" s="84" t="s">
        <v>2040</v>
      </c>
      <c r="D50" s="48" t="s">
        <v>2043</v>
      </c>
      <c r="E50" s="85" t="s">
        <v>2036</v>
      </c>
    </row>
    <row r="51" spans="1:5" x14ac:dyDescent="0.25">
      <c r="A51" s="14">
        <v>33</v>
      </c>
      <c r="B51" s="84" t="s">
        <v>3010</v>
      </c>
      <c r="C51" s="84" t="s">
        <v>2040</v>
      </c>
      <c r="D51" s="48" t="s">
        <v>2043</v>
      </c>
      <c r="E51" s="85" t="s">
        <v>2036</v>
      </c>
    </row>
    <row r="52" spans="1:5" x14ac:dyDescent="0.25">
      <c r="A52" s="14">
        <v>34</v>
      </c>
      <c r="B52" s="84" t="s">
        <v>3012</v>
      </c>
      <c r="C52" s="84" t="s">
        <v>2040</v>
      </c>
      <c r="D52" s="48" t="s">
        <v>2043</v>
      </c>
      <c r="E52" s="85" t="s">
        <v>2036</v>
      </c>
    </row>
    <row r="53" spans="1:5" x14ac:dyDescent="0.25">
      <c r="A53" s="14">
        <v>35</v>
      </c>
      <c r="B53" s="84" t="s">
        <v>3014</v>
      </c>
      <c r="C53" s="84" t="s">
        <v>2040</v>
      </c>
      <c r="D53" s="48" t="s">
        <v>2043</v>
      </c>
      <c r="E53" s="85" t="s">
        <v>2036</v>
      </c>
    </row>
    <row r="54" spans="1:5" x14ac:dyDescent="0.25">
      <c r="A54" s="14">
        <v>36</v>
      </c>
      <c r="B54" s="84" t="s">
        <v>3016</v>
      </c>
      <c r="C54" s="84" t="s">
        <v>2040</v>
      </c>
      <c r="D54" s="48" t="s">
        <v>2043</v>
      </c>
      <c r="E54" s="85" t="s">
        <v>2036</v>
      </c>
    </row>
    <row r="55" spans="1:5" x14ac:dyDescent="0.25">
      <c r="A55" s="14">
        <v>37</v>
      </c>
      <c r="B55" s="84" t="s">
        <v>3018</v>
      </c>
      <c r="C55" s="84" t="s">
        <v>2040</v>
      </c>
      <c r="D55" s="48" t="s">
        <v>2043</v>
      </c>
      <c r="E55" s="85" t="s">
        <v>2036</v>
      </c>
    </row>
    <row r="56" spans="1:5" x14ac:dyDescent="0.25">
      <c r="A56" s="14">
        <v>38</v>
      </c>
      <c r="B56" s="84" t="s">
        <v>3020</v>
      </c>
      <c r="C56" s="84" t="s">
        <v>2040</v>
      </c>
      <c r="D56" s="48" t="s">
        <v>2043</v>
      </c>
      <c r="E56" s="85" t="s">
        <v>2036</v>
      </c>
    </row>
    <row r="57" spans="1:5" x14ac:dyDescent="0.25">
      <c r="A57" s="14">
        <v>39</v>
      </c>
      <c r="B57" s="84" t="s">
        <v>3022</v>
      </c>
      <c r="C57" s="84" t="s">
        <v>2040</v>
      </c>
      <c r="D57" s="48" t="s">
        <v>2043</v>
      </c>
      <c r="E57" s="85" t="s">
        <v>2036</v>
      </c>
    </row>
    <row r="58" spans="1:5" x14ac:dyDescent="0.25">
      <c r="A58" s="14">
        <v>40</v>
      </c>
      <c r="B58" s="84" t="s">
        <v>3024</v>
      </c>
      <c r="C58" s="84" t="s">
        <v>2040</v>
      </c>
      <c r="D58" s="48" t="s">
        <v>2043</v>
      </c>
      <c r="E58" s="85" t="s">
        <v>2036</v>
      </c>
    </row>
    <row r="59" spans="1:5" x14ac:dyDescent="0.25">
      <c r="A59" s="14">
        <v>41</v>
      </c>
      <c r="B59" s="84" t="s">
        <v>3026</v>
      </c>
      <c r="C59" s="84" t="s">
        <v>2040</v>
      </c>
      <c r="D59" s="48" t="s">
        <v>2043</v>
      </c>
      <c r="E59" s="85" t="s">
        <v>2036</v>
      </c>
    </row>
    <row r="60" spans="1:5" x14ac:dyDescent="0.25">
      <c r="A60" s="14">
        <v>42</v>
      </c>
      <c r="B60" s="84" t="s">
        <v>3028</v>
      </c>
      <c r="C60" s="84" t="s">
        <v>2040</v>
      </c>
      <c r="D60" s="48" t="s">
        <v>2043</v>
      </c>
      <c r="E60" s="85" t="s">
        <v>2036</v>
      </c>
    </row>
    <row r="61" spans="1:5" x14ac:dyDescent="0.25">
      <c r="A61" s="14">
        <v>43</v>
      </c>
      <c r="B61" s="84" t="s">
        <v>3030</v>
      </c>
      <c r="C61" s="84" t="s">
        <v>2040</v>
      </c>
      <c r="D61" s="48" t="s">
        <v>2043</v>
      </c>
      <c r="E61" s="85" t="s">
        <v>2036</v>
      </c>
    </row>
    <row r="62" spans="1:5" x14ac:dyDescent="0.25">
      <c r="A62" s="14">
        <v>44</v>
      </c>
      <c r="B62" s="84" t="s">
        <v>3032</v>
      </c>
      <c r="C62" s="84" t="s">
        <v>2040</v>
      </c>
      <c r="D62" s="48" t="s">
        <v>2043</v>
      </c>
      <c r="E62" s="85" t="s">
        <v>2036</v>
      </c>
    </row>
    <row r="63" spans="1:5" x14ac:dyDescent="0.25">
      <c r="A63" s="14">
        <v>45</v>
      </c>
      <c r="B63" s="84" t="s">
        <v>3034</v>
      </c>
      <c r="C63" s="84" t="s">
        <v>2867</v>
      </c>
      <c r="D63" s="48" t="s">
        <v>2043</v>
      </c>
      <c r="E63" s="85" t="s">
        <v>2868</v>
      </c>
    </row>
    <row r="64" spans="1:5" x14ac:dyDescent="0.25">
      <c r="A64" s="14">
        <v>46</v>
      </c>
      <c r="B64" s="84" t="s">
        <v>3036</v>
      </c>
      <c r="C64" s="84" t="s">
        <v>2867</v>
      </c>
      <c r="D64" s="48" t="s">
        <v>2043</v>
      </c>
      <c r="E64" s="85" t="s">
        <v>2868</v>
      </c>
    </row>
    <row r="65" spans="1:5" x14ac:dyDescent="0.25">
      <c r="A65" s="14">
        <v>47</v>
      </c>
      <c r="B65" s="84" t="s">
        <v>3038</v>
      </c>
      <c r="C65" s="84" t="s">
        <v>2867</v>
      </c>
      <c r="D65" s="48" t="s">
        <v>2043</v>
      </c>
      <c r="E65" s="85" t="s">
        <v>2868</v>
      </c>
    </row>
    <row r="66" spans="1:5" x14ac:dyDescent="0.25">
      <c r="A66" s="14">
        <v>48</v>
      </c>
      <c r="B66" s="84" t="s">
        <v>3040</v>
      </c>
      <c r="C66" s="84" t="s">
        <v>2867</v>
      </c>
      <c r="D66" s="48" t="s">
        <v>2043</v>
      </c>
      <c r="E66" s="85" t="s">
        <v>2868</v>
      </c>
    </row>
    <row r="67" spans="1:5" x14ac:dyDescent="0.25">
      <c r="A67" s="12">
        <v>49</v>
      </c>
      <c r="B67" s="103" t="s">
        <v>3042</v>
      </c>
      <c r="C67" s="84" t="s">
        <v>2040</v>
      </c>
      <c r="D67" s="12" t="s">
        <v>2043</v>
      </c>
      <c r="E67" s="85" t="s">
        <v>2036</v>
      </c>
    </row>
    <row r="68" spans="1:5" x14ac:dyDescent="0.25">
      <c r="A68" s="12">
        <v>50</v>
      </c>
      <c r="B68" s="103" t="s">
        <v>3044</v>
      </c>
      <c r="C68" s="84" t="s">
        <v>2040</v>
      </c>
      <c r="D68" s="12" t="s">
        <v>2043</v>
      </c>
      <c r="E68" s="85" t="s">
        <v>2036</v>
      </c>
    </row>
    <row r="69" spans="1:5" x14ac:dyDescent="0.25">
      <c r="A69" s="12">
        <v>51</v>
      </c>
      <c r="B69" s="103" t="s">
        <v>3046</v>
      </c>
      <c r="C69" s="84" t="s">
        <v>2867</v>
      </c>
      <c r="D69" s="12" t="s">
        <v>2043</v>
      </c>
      <c r="E69" s="85" t="s">
        <v>2868</v>
      </c>
    </row>
    <row r="70" spans="1:5" x14ac:dyDescent="0.25">
      <c r="A70" s="12">
        <v>52</v>
      </c>
      <c r="B70" s="103" t="s">
        <v>3048</v>
      </c>
      <c r="C70" s="84" t="s">
        <v>2867</v>
      </c>
      <c r="D70" s="12" t="s">
        <v>2043</v>
      </c>
      <c r="E70" s="85" t="s">
        <v>2868</v>
      </c>
    </row>
    <row r="71" spans="1:5" x14ac:dyDescent="0.25">
      <c r="A71" s="12">
        <v>53</v>
      </c>
      <c r="B71" s="103" t="s">
        <v>3050</v>
      </c>
      <c r="C71" s="84" t="s">
        <v>2548</v>
      </c>
      <c r="D71" s="12" t="s">
        <v>2043</v>
      </c>
      <c r="E71" s="85" t="s">
        <v>2549</v>
      </c>
    </row>
    <row r="72" spans="1:5" x14ac:dyDescent="0.25">
      <c r="A72" s="12">
        <v>54</v>
      </c>
      <c r="B72" s="103" t="s">
        <v>3052</v>
      </c>
      <c r="C72" s="84" t="s">
        <v>2040</v>
      </c>
      <c r="D72" s="12" t="s">
        <v>2043</v>
      </c>
      <c r="E72" s="85" t="s">
        <v>2036</v>
      </c>
    </row>
    <row r="73" spans="1:5" x14ac:dyDescent="0.25">
      <c r="A73" s="14">
        <v>55</v>
      </c>
      <c r="B73" s="84" t="s">
        <v>3342</v>
      </c>
      <c r="C73" s="84" t="s">
        <v>2040</v>
      </c>
      <c r="D73" s="12" t="s">
        <v>2043</v>
      </c>
      <c r="E73" s="85" t="s">
        <v>2036</v>
      </c>
    </row>
  </sheetData>
  <dataValidations count="6">
    <dataValidation type="decimal" errorStyle="warning" operator="lessThan" allowBlank="1" showInputMessage="1" showErrorMessage="1" sqref="C3" xr:uid="{00000000-0002-0000-0100-000000000000}">
      <formula1>16</formula1>
    </dataValidation>
    <dataValidation type="list" allowBlank="1" showInputMessage="1" showErrorMessage="1" sqref="C7" xr:uid="{00000000-0002-0000-0100-000001000000}">
      <formula1>"BCC1,ECC1"</formula1>
    </dataValidation>
    <dataValidation type="list" allowBlank="1" showInputMessage="1" showErrorMessage="1" sqref="C2" xr:uid="{00000000-0002-0000-0100-000002000000}">
      <formula1>"ARM Cortex M4,ARM Cortex M7,ARM Cortex R5,RL78D1x,RH850D1x,RH850F1x"</formula1>
    </dataValidation>
    <dataValidation type="list" allowBlank="1" showInputMessage="1" showErrorMessage="1" sqref="D17:D1048576" xr:uid="{00000000-0002-0000-0100-000003000000}">
      <formula1>"TASK,ISR"</formula1>
    </dataValidation>
    <dataValidation type="list" allowBlank="1" showInputMessage="1" showErrorMessage="1" sqref="C13" xr:uid="{00000000-0002-0000-0100-000004000000}">
      <formula1>"STANDARD,EXTENDED"</formula1>
    </dataValidation>
    <dataValidation type="list" allowBlank="1" showInputMessage="1" showErrorMessage="1" sqref="C14" xr:uid="{00000000-0002-0000-0100-000005000000}">
      <formula1>"MPU_DISABLED,OSAPPLICATIONS_PROTECTION,OBJECT_PROTECTION,ENABLE_ALL"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70660" r:id="rId4" name="cmdLoadObjects">
          <controlPr defaultSize="0" autoLine="0" autoPict="0" r:id="rId5">
            <anchor moveWithCells="1">
              <from>
                <xdr:col>3</xdr:col>
                <xdr:colOff>1257300</xdr:colOff>
                <xdr:row>12</xdr:row>
                <xdr:rowOff>28575</xdr:rowOff>
              </from>
              <to>
                <xdr:col>7</xdr:col>
                <xdr:colOff>38100</xdr:colOff>
                <xdr:row>15</xdr:row>
                <xdr:rowOff>95250</xdr:rowOff>
              </to>
            </anchor>
          </controlPr>
        </control>
      </mc:Choice>
      <mc:Fallback>
        <control shapeId="70660" r:id="rId4" name="cmdLoadObjects"/>
      </mc:Fallback>
    </mc:AlternateContent>
    <mc:AlternateContent xmlns:mc="http://schemas.openxmlformats.org/markup-compatibility/2006">
      <mc:Choice Requires="x14">
        <control shapeId="70667" r:id="rId6" name="cmdMainGenerate">
          <controlPr defaultSize="0" autoLine="0" autoPict="0" r:id="rId7">
            <anchor moveWithCells="1">
              <from>
                <xdr:col>3</xdr:col>
                <xdr:colOff>1000125</xdr:colOff>
                <xdr:row>2</xdr:row>
                <xdr:rowOff>161925</xdr:rowOff>
              </from>
              <to>
                <xdr:col>7</xdr:col>
                <xdr:colOff>19050</xdr:colOff>
                <xdr:row>8</xdr:row>
                <xdr:rowOff>161925</xdr:rowOff>
              </to>
            </anchor>
          </controlPr>
        </control>
      </mc:Choice>
      <mc:Fallback>
        <control shapeId="70667" r:id="rId6" name="cmdMainGenerate"/>
      </mc:Fallback>
    </mc:AlternateContent>
    <mc:AlternateContent xmlns:mc="http://schemas.openxmlformats.org/markup-compatibility/2006">
      <mc:Choice Requires="x14">
        <control shapeId="70668" r:id="rId8" name="cmdClrObj">
          <controlPr defaultSize="0" autoLine="0" autoPict="0" r:id="rId9">
            <anchor moveWithCells="1">
              <from>
                <xdr:col>4</xdr:col>
                <xdr:colOff>66675</xdr:colOff>
                <xdr:row>9</xdr:row>
                <xdr:rowOff>85725</xdr:rowOff>
              </from>
              <to>
                <xdr:col>5</xdr:col>
                <xdr:colOff>304800</xdr:colOff>
                <xdr:row>11</xdr:row>
                <xdr:rowOff>171450</xdr:rowOff>
              </to>
            </anchor>
          </controlPr>
        </control>
      </mc:Choice>
      <mc:Fallback>
        <control shapeId="70668" r:id="rId8" name="cmdClrObj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100-000006000000}">
          <x14:formula1>
            <xm:f>OsApplication!$B$9:$B$32</xm:f>
          </x14:formula1>
          <xm:sqref>C18:C73</xm:sqref>
        </x14:dataValidation>
        <x14:dataValidation type="list" allowBlank="1" showInputMessage="1" showErrorMessage="1" xr:uid="{00000000-0002-0000-0100-000007000000}">
          <x14:formula1>
            <xm:f>MpuContainer!$A$9:$A$32</xm:f>
          </x14:formula1>
          <xm:sqref>E42:E45 E49:E62 E67:E68 E72:E73</xm:sqref>
        </x14:dataValidation>
        <x14:dataValidation type="list" allowBlank="1" showInputMessage="1" showErrorMessage="1" xr:uid="{6EB107DB-7BD7-4668-8E6B-45C134A81591}">
          <x14:formula1>
            <xm:f>MpuContainer!$A$9:$A$100</xm:f>
          </x14:formula1>
          <xm:sqref>E46:E48 E18:E41 E63:E66 E69:E71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7"/>
  <dimension ref="A8:G13"/>
  <sheetViews>
    <sheetView workbookViewId="0">
      <selection activeCell="D13" sqref="D13"/>
    </sheetView>
  </sheetViews>
  <sheetFormatPr defaultRowHeight="15" x14ac:dyDescent="0.25"/>
  <cols>
    <col min="2" max="2" width="26.7109375" customWidth="1"/>
    <col min="3" max="3" width="19.7109375" bestFit="1" customWidth="1"/>
    <col min="4" max="4" width="22.7109375" bestFit="1" customWidth="1"/>
    <col min="5" max="5" width="28.28515625" bestFit="1" customWidth="1"/>
    <col min="6" max="6" width="17.7109375" bestFit="1" customWidth="1"/>
    <col min="7" max="7" width="26.7109375" customWidth="1"/>
  </cols>
  <sheetData>
    <row r="8" spans="1:7" ht="15.75" thickBot="1" x14ac:dyDescent="0.3"/>
    <row r="9" spans="1:7" x14ac:dyDescent="0.25">
      <c r="A9" s="75" t="s">
        <v>699</v>
      </c>
      <c r="B9" s="76" t="s">
        <v>2050</v>
      </c>
      <c r="C9" s="76" t="s">
        <v>2051</v>
      </c>
      <c r="D9" s="76" t="s">
        <v>2054</v>
      </c>
      <c r="E9" s="89" t="s">
        <v>2055</v>
      </c>
      <c r="F9" s="89" t="s">
        <v>2056</v>
      </c>
      <c r="G9" s="77" t="s">
        <v>2027</v>
      </c>
    </row>
    <row r="10" spans="1:7" x14ac:dyDescent="0.25">
      <c r="A10" s="78">
        <v>0</v>
      </c>
      <c r="B10" s="79" t="s">
        <v>2052</v>
      </c>
      <c r="C10" s="79" t="b">
        <v>1</v>
      </c>
      <c r="D10" s="79">
        <v>3</v>
      </c>
      <c r="E10" s="90" t="s">
        <v>2040</v>
      </c>
      <c r="F10" s="90" t="s">
        <v>2068</v>
      </c>
      <c r="G10" s="80" t="s">
        <v>2053</v>
      </c>
    </row>
    <row r="11" spans="1:7" x14ac:dyDescent="0.25">
      <c r="A11" s="78"/>
      <c r="B11" s="79"/>
      <c r="C11" s="79"/>
      <c r="D11" s="79"/>
      <c r="E11" s="90"/>
      <c r="F11" s="90"/>
      <c r="G11" s="80"/>
    </row>
    <row r="12" spans="1:7" x14ac:dyDescent="0.25">
      <c r="A12" s="78"/>
      <c r="B12" s="79"/>
      <c r="C12" s="79"/>
      <c r="D12" s="79"/>
      <c r="E12" s="90"/>
      <c r="F12" s="90"/>
      <c r="G12" s="80"/>
    </row>
    <row r="13" spans="1:7" x14ac:dyDescent="0.25">
      <c r="A13" s="78"/>
      <c r="B13" s="79"/>
      <c r="C13" s="79"/>
      <c r="D13" s="79"/>
      <c r="E13" s="90"/>
      <c r="F13" s="90"/>
      <c r="G13" s="80"/>
    </row>
  </sheetData>
  <dataValidations count="1">
    <dataValidation type="list" allowBlank="1" showInputMessage="1" showErrorMessage="1" sqref="C10:C13" xr:uid="{00000000-0002-0000-0200-000000000000}">
      <formula1>"TRUE,FALSE"</formula1>
    </dataValidation>
  </dataValidations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1000000}">
          <x14:formula1>
            <xm:f>OsApplication!$B$9:$B$32</xm:f>
          </x14:formula1>
          <xm:sqref>E11:E13</xm:sqref>
        </x14:dataValidation>
        <x14:dataValidation type="list" allowBlank="1" showInputMessage="1" showErrorMessage="1" xr:uid="{00000000-0002-0000-0200-000002000000}">
          <x14:formula1>
            <xm:f>Generate!$B$18:$B$62</xm:f>
          </x14:formula1>
          <xm:sqref>F11:F13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6"/>
  <dimension ref="A2:E32"/>
  <sheetViews>
    <sheetView topLeftCell="A10" workbookViewId="0">
      <selection activeCell="B19" sqref="B19"/>
    </sheetView>
  </sheetViews>
  <sheetFormatPr defaultColWidth="8.7109375" defaultRowHeight="15" x14ac:dyDescent="0.25"/>
  <cols>
    <col min="1" max="1" width="2" style="74" bestFit="1" customWidth="1"/>
    <col min="2" max="2" width="28.140625" style="74" bestFit="1" customWidth="1"/>
    <col min="3" max="3" width="21.85546875" style="74" bestFit="1" customWidth="1"/>
    <col min="4" max="4" width="11.28515625" style="74" customWidth="1"/>
    <col min="5" max="5" width="21.5703125" style="74" bestFit="1" customWidth="1"/>
    <col min="6" max="16384" width="8.7109375" style="74"/>
  </cols>
  <sheetData>
    <row r="2" spans="1:5" x14ac:dyDescent="0.25">
      <c r="B2" s="99" t="s">
        <v>2063</v>
      </c>
      <c r="C2" s="100">
        <f>COUNTA(B9:B20)</f>
        <v>3</v>
      </c>
    </row>
    <row r="7" spans="1:5" ht="15.75" thickBot="1" x14ac:dyDescent="0.3"/>
    <row r="8" spans="1:5" x14ac:dyDescent="0.25">
      <c r="A8" s="75" t="s">
        <v>699</v>
      </c>
      <c r="B8" s="76" t="s">
        <v>2025</v>
      </c>
      <c r="C8" s="76" t="s">
        <v>2024</v>
      </c>
      <c r="D8" s="76" t="s">
        <v>2026</v>
      </c>
      <c r="E8" s="77" t="s">
        <v>2027</v>
      </c>
    </row>
    <row r="9" spans="1:5" x14ac:dyDescent="0.25">
      <c r="A9" s="78">
        <v>0</v>
      </c>
      <c r="B9" s="79" t="s">
        <v>2040</v>
      </c>
      <c r="C9" s="79" t="s">
        <v>2036</v>
      </c>
      <c r="D9" s="79" t="s">
        <v>2052</v>
      </c>
      <c r="E9" s="80" t="s">
        <v>2045</v>
      </c>
    </row>
    <row r="10" spans="1:5" x14ac:dyDescent="0.25">
      <c r="A10" s="78">
        <v>1</v>
      </c>
      <c r="B10" s="79" t="s">
        <v>2548</v>
      </c>
      <c r="C10" s="79" t="s">
        <v>2549</v>
      </c>
      <c r="D10" s="79" t="s">
        <v>2052</v>
      </c>
      <c r="E10" s="80" t="s">
        <v>2045</v>
      </c>
    </row>
    <row r="11" spans="1:5" x14ac:dyDescent="0.25">
      <c r="A11" s="78">
        <v>2</v>
      </c>
      <c r="B11" s="79" t="s">
        <v>2867</v>
      </c>
      <c r="C11" s="79" t="s">
        <v>2868</v>
      </c>
      <c r="D11" s="79" t="s">
        <v>2052</v>
      </c>
      <c r="E11" s="80" t="s">
        <v>2045</v>
      </c>
    </row>
    <row r="12" spans="1:5" x14ac:dyDescent="0.25">
      <c r="A12" s="78"/>
      <c r="B12" s="79"/>
      <c r="C12" s="79"/>
      <c r="D12" s="79"/>
      <c r="E12" s="80"/>
    </row>
    <row r="13" spans="1:5" x14ac:dyDescent="0.25">
      <c r="A13" s="78"/>
      <c r="B13" s="79"/>
      <c r="C13" s="79"/>
      <c r="D13" s="79"/>
      <c r="E13" s="80"/>
    </row>
    <row r="14" spans="1:5" x14ac:dyDescent="0.25">
      <c r="A14" s="78"/>
      <c r="B14" s="79"/>
      <c r="C14" s="79"/>
      <c r="D14" s="79"/>
      <c r="E14" s="80"/>
    </row>
    <row r="15" spans="1:5" x14ac:dyDescent="0.25">
      <c r="A15" s="78"/>
      <c r="B15" s="79"/>
      <c r="C15" s="79"/>
      <c r="D15" s="79"/>
      <c r="E15" s="80"/>
    </row>
    <row r="16" spans="1:5" x14ac:dyDescent="0.25">
      <c r="A16" s="78"/>
      <c r="B16" s="79"/>
      <c r="C16" s="79"/>
      <c r="D16" s="79"/>
      <c r="E16" s="80"/>
    </row>
    <row r="17" spans="1:5" x14ac:dyDescent="0.25">
      <c r="A17" s="78"/>
      <c r="B17" s="79"/>
      <c r="C17" s="79"/>
      <c r="D17" s="79"/>
      <c r="E17" s="80"/>
    </row>
    <row r="18" spans="1:5" x14ac:dyDescent="0.25">
      <c r="A18" s="78"/>
      <c r="B18" s="79"/>
      <c r="C18" s="79"/>
      <c r="D18" s="79"/>
      <c r="E18" s="80"/>
    </row>
    <row r="19" spans="1:5" x14ac:dyDescent="0.25">
      <c r="A19" s="78"/>
      <c r="B19" s="79"/>
      <c r="C19" s="79"/>
      <c r="D19" s="79"/>
      <c r="E19" s="80"/>
    </row>
    <row r="20" spans="1:5" x14ac:dyDescent="0.25">
      <c r="A20" s="78"/>
      <c r="B20" s="79"/>
      <c r="C20" s="79"/>
      <c r="D20" s="79"/>
      <c r="E20" s="80"/>
    </row>
    <row r="21" spans="1:5" x14ac:dyDescent="0.25">
      <c r="A21" s="78"/>
      <c r="B21" s="79"/>
      <c r="C21" s="79"/>
      <c r="D21" s="79"/>
      <c r="E21" s="80"/>
    </row>
    <row r="22" spans="1:5" x14ac:dyDescent="0.25">
      <c r="A22" s="78"/>
      <c r="B22" s="79"/>
      <c r="C22" s="79"/>
      <c r="D22" s="79"/>
      <c r="E22" s="80"/>
    </row>
    <row r="23" spans="1:5" x14ac:dyDescent="0.25">
      <c r="A23" s="78"/>
      <c r="B23" s="79"/>
      <c r="C23" s="79"/>
      <c r="D23" s="79"/>
      <c r="E23" s="80"/>
    </row>
    <row r="24" spans="1:5" x14ac:dyDescent="0.25">
      <c r="A24" s="78"/>
      <c r="B24" s="79"/>
      <c r="C24" s="79"/>
      <c r="D24" s="79"/>
      <c r="E24" s="80"/>
    </row>
    <row r="25" spans="1:5" x14ac:dyDescent="0.25">
      <c r="A25" s="78"/>
      <c r="B25" s="79"/>
      <c r="C25" s="79"/>
      <c r="D25" s="79"/>
      <c r="E25" s="80"/>
    </row>
    <row r="26" spans="1:5" x14ac:dyDescent="0.25">
      <c r="A26" s="78"/>
      <c r="B26" s="79"/>
      <c r="C26" s="79"/>
      <c r="D26" s="79"/>
      <c r="E26" s="80"/>
    </row>
    <row r="27" spans="1:5" x14ac:dyDescent="0.25">
      <c r="A27" s="78"/>
      <c r="B27" s="79"/>
      <c r="C27" s="79"/>
      <c r="D27" s="79"/>
      <c r="E27" s="80"/>
    </row>
    <row r="28" spans="1:5" x14ac:dyDescent="0.25">
      <c r="A28" s="78"/>
      <c r="B28" s="79"/>
      <c r="C28" s="79"/>
      <c r="D28" s="79"/>
      <c r="E28" s="80"/>
    </row>
    <row r="29" spans="1:5" x14ac:dyDescent="0.25">
      <c r="A29" s="78"/>
      <c r="B29" s="79"/>
      <c r="C29" s="79"/>
      <c r="D29" s="79"/>
      <c r="E29" s="80"/>
    </row>
    <row r="30" spans="1:5" x14ac:dyDescent="0.25">
      <c r="A30" s="78"/>
      <c r="B30" s="79"/>
      <c r="C30" s="79"/>
      <c r="D30" s="79"/>
      <c r="E30" s="80"/>
    </row>
    <row r="31" spans="1:5" x14ac:dyDescent="0.25">
      <c r="A31" s="78"/>
      <c r="B31" s="79"/>
      <c r="C31" s="79"/>
      <c r="D31" s="79"/>
      <c r="E31" s="80"/>
    </row>
    <row r="32" spans="1:5" ht="15.75" thickBot="1" x14ac:dyDescent="0.3">
      <c r="A32" s="81"/>
      <c r="B32" s="82"/>
      <c r="C32" s="82"/>
      <c r="D32" s="82"/>
      <c r="E32" s="83"/>
    </row>
  </sheetData>
  <pageMargins left="0.7" right="0.7" top="0.75" bottom="0.75" header="0.3" footer="0.3"/>
  <pageSetup orientation="portrait" horizontalDpi="300" verticalDpi="3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00000000-0002-0000-0300-000000000000}">
          <x14:formula1>
            <xm:f>MpuContainer!$A$9:$A$32</xm:f>
          </x14:formula1>
          <xm:sqref>C12:C32</xm:sqref>
        </x14:dataValidation>
        <x14:dataValidation type="list" allowBlank="1" showInputMessage="1" showErrorMessage="1" xr:uid="{00000000-0002-0000-0300-000002000000}">
          <x14:formula1>
            <xm:f>OsCore!$B$10:$B$13</xm:f>
          </x14:formula1>
          <xm:sqref>D12:D32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4"/>
  <dimension ref="A2:AL56"/>
  <sheetViews>
    <sheetView topLeftCell="A31" zoomScale="90" zoomScaleNormal="90" workbookViewId="0">
      <selection activeCell="F14" sqref="F14"/>
    </sheetView>
  </sheetViews>
  <sheetFormatPr defaultRowHeight="15" x14ac:dyDescent="0.25"/>
  <cols>
    <col min="1" max="1" width="25.28515625" bestFit="1" customWidth="1"/>
    <col min="2" max="2" width="12" bestFit="1" customWidth="1"/>
    <col min="3" max="3" width="8.28515625" bestFit="1" customWidth="1"/>
    <col min="4" max="4" width="17.5703125" bestFit="1" customWidth="1"/>
    <col min="5" max="6" width="12.28515625" bestFit="1" customWidth="1"/>
    <col min="7" max="7" width="18.140625" bestFit="1" customWidth="1"/>
    <col min="8" max="8" width="32.28515625" bestFit="1" customWidth="1"/>
    <col min="9" max="9" width="10.5703125" bestFit="1" customWidth="1"/>
    <col min="10" max="10" width="11.42578125" bestFit="1" customWidth="1"/>
    <col min="11" max="11" width="9.140625" bestFit="1" customWidth="1"/>
    <col min="12" max="12" width="10.28515625" bestFit="1" customWidth="1"/>
    <col min="13" max="13" width="7.7109375" bestFit="1" customWidth="1"/>
    <col min="14" max="15" width="4.42578125" bestFit="1" customWidth="1"/>
    <col min="16" max="16" width="12" bestFit="1" customWidth="1"/>
  </cols>
  <sheetData>
    <row r="2" spans="1:38" x14ac:dyDescent="0.25">
      <c r="A2" t="s">
        <v>2039</v>
      </c>
      <c r="B2" cm="1">
        <f t="array" ref="B2">INT(SUMPRODUCT(1/COUNTIF(A9:A69,A9:A69&amp;""))-1)</f>
        <v>3</v>
      </c>
      <c r="H2">
        <f>SUM(IF(FREQUENCY(MATCH(A9:A17,A9:A17,0),ROW(A9:A17)-ROW(A9)+1)=1,1))</f>
        <v>0</v>
      </c>
    </row>
    <row r="3" spans="1:38" x14ac:dyDescent="0.25">
      <c r="A3" t="s">
        <v>2866</v>
      </c>
      <c r="B3">
        <v>0</v>
      </c>
      <c r="H3">
        <f>SUMPRODUCT(1/COUNTIF(A9:A32,A9:A32&amp;""))-1</f>
        <v>1</v>
      </c>
    </row>
    <row r="6" spans="1:38" ht="15.75" thickBot="1" x14ac:dyDescent="0.3"/>
    <row r="7" spans="1:38" ht="15.75" thickBot="1" x14ac:dyDescent="0.3">
      <c r="A7" s="181" t="s">
        <v>2059</v>
      </c>
      <c r="B7" s="183" t="s">
        <v>2031</v>
      </c>
      <c r="C7" s="183" t="s">
        <v>2028</v>
      </c>
      <c r="D7" s="183" t="s">
        <v>2037</v>
      </c>
      <c r="E7" s="183" t="s">
        <v>2030</v>
      </c>
      <c r="F7" s="178" t="s">
        <v>2029</v>
      </c>
      <c r="G7" s="179"/>
      <c r="H7" s="179"/>
      <c r="I7" s="180"/>
    </row>
    <row r="8" spans="1:38" x14ac:dyDescent="0.25">
      <c r="A8" s="182"/>
      <c r="B8" s="184"/>
      <c r="C8" s="184"/>
      <c r="D8" s="184"/>
      <c r="E8" s="184"/>
      <c r="F8" s="46" t="s">
        <v>2032</v>
      </c>
      <c r="G8" s="46" t="s">
        <v>2033</v>
      </c>
      <c r="H8" s="73" t="s">
        <v>2034</v>
      </c>
      <c r="I8" s="73" t="s">
        <v>2079</v>
      </c>
      <c r="J8" s="128" t="s">
        <v>2846</v>
      </c>
      <c r="K8" s="128" t="s">
        <v>2847</v>
      </c>
      <c r="L8" s="129" t="s">
        <v>2848</v>
      </c>
      <c r="M8" s="46" t="s">
        <v>2849</v>
      </c>
      <c r="N8" s="46" t="s">
        <v>2850</v>
      </c>
      <c r="O8" s="46" t="s">
        <v>2851</v>
      </c>
      <c r="P8" s="46" t="s">
        <v>2852</v>
      </c>
    </row>
    <row r="9" spans="1:38" x14ac:dyDescent="0.25">
      <c r="A9" s="138" t="s">
        <v>2036</v>
      </c>
      <c r="B9" s="139">
        <v>15</v>
      </c>
      <c r="C9" s="139">
        <v>1</v>
      </c>
      <c r="D9" s="139" t="s">
        <v>2869</v>
      </c>
      <c r="E9" s="139">
        <v>28</v>
      </c>
      <c r="F9" s="139" t="s">
        <v>2038</v>
      </c>
      <c r="G9" s="139" t="s">
        <v>2035</v>
      </c>
      <c r="H9" s="140" t="s">
        <v>2860</v>
      </c>
      <c r="I9" s="140">
        <v>0</v>
      </c>
      <c r="J9" s="139" t="str">
        <f t="shared" ref="J9:J53" si="0">RIGHT(D9,LEN(D9)-2)</f>
        <v>00000000</v>
      </c>
      <c r="K9" s="139" t="str">
        <f>DEC2HEX(HEX2DEC(J9)+HEX2DEC(L9)-1)</f>
        <v>FFFFFFF</v>
      </c>
      <c r="L9" s="141" t="str">
        <f t="shared" ref="L9:L53" si="1">DEC2HEX(2^(E9))</f>
        <v>10000000</v>
      </c>
      <c r="M9" s="139">
        <f>(HEX2DEC(L9)/1024)</f>
        <v>262144</v>
      </c>
      <c r="N9" s="139">
        <f>M9/1024</f>
        <v>256</v>
      </c>
      <c r="O9" s="142">
        <f>N9/1024</f>
        <v>0.25</v>
      </c>
      <c r="P9" s="139" t="s">
        <v>2870</v>
      </c>
    </row>
    <row r="10" spans="1:38" x14ac:dyDescent="0.25">
      <c r="A10" s="143" t="s">
        <v>2036</v>
      </c>
      <c r="B10" s="24"/>
      <c r="C10" s="24">
        <v>2</v>
      </c>
      <c r="D10" s="24" t="s">
        <v>2871</v>
      </c>
      <c r="E10" s="24">
        <v>22</v>
      </c>
      <c r="F10" s="24" t="s">
        <v>2038</v>
      </c>
      <c r="G10" s="24" t="s">
        <v>2035</v>
      </c>
      <c r="H10" s="144" t="s">
        <v>2860</v>
      </c>
      <c r="I10" s="144">
        <v>0</v>
      </c>
      <c r="J10" s="24" t="str">
        <f t="shared" si="0"/>
        <v>10000000</v>
      </c>
      <c r="K10" s="24" t="str">
        <f t="shared" ref="K10:K53" si="2">DEC2HEX(HEX2DEC(J10)+HEX2DEC(L10)-1)</f>
        <v>103FFFFF</v>
      </c>
      <c r="L10" s="130" t="str">
        <f t="shared" si="1"/>
        <v>400000</v>
      </c>
      <c r="M10" s="24">
        <f t="shared" ref="M10:M23" si="3">(HEX2DEC(L10)/1024)</f>
        <v>4096</v>
      </c>
      <c r="N10" s="131">
        <f t="shared" ref="N10:O14" si="4">M10/1024</f>
        <v>4</v>
      </c>
      <c r="O10" s="24">
        <f t="shared" si="4"/>
        <v>3.90625E-3</v>
      </c>
      <c r="P10" s="24" t="s">
        <v>2872</v>
      </c>
    </row>
    <row r="11" spans="1:38" x14ac:dyDescent="0.25">
      <c r="A11" s="143" t="s">
        <v>2036</v>
      </c>
      <c r="B11" s="24"/>
      <c r="C11" s="24">
        <v>3</v>
      </c>
      <c r="D11" s="24" t="s">
        <v>2873</v>
      </c>
      <c r="E11" s="24">
        <v>18</v>
      </c>
      <c r="F11" s="24" t="s">
        <v>2038</v>
      </c>
      <c r="G11" s="24" t="s">
        <v>2035</v>
      </c>
      <c r="H11" s="144" t="s">
        <v>2860</v>
      </c>
      <c r="I11" s="144">
        <v>0</v>
      </c>
      <c r="J11" s="24" t="str">
        <f t="shared" si="0"/>
        <v>28000000</v>
      </c>
      <c r="K11" s="24" t="str">
        <f t="shared" si="2"/>
        <v>2803FFFF</v>
      </c>
      <c r="L11" s="130" t="str">
        <f t="shared" si="1"/>
        <v>40000</v>
      </c>
      <c r="M11" s="131">
        <f t="shared" si="3"/>
        <v>256</v>
      </c>
      <c r="N11" s="24">
        <f t="shared" si="4"/>
        <v>0.25</v>
      </c>
      <c r="O11" s="24">
        <f t="shared" si="4"/>
        <v>2.44140625E-4</v>
      </c>
      <c r="P11" s="24" t="s">
        <v>2874</v>
      </c>
    </row>
    <row r="12" spans="1:38" x14ac:dyDescent="0.25">
      <c r="A12" s="143" t="s">
        <v>2036</v>
      </c>
      <c r="B12" s="24"/>
      <c r="C12" s="24">
        <v>4</v>
      </c>
      <c r="D12" s="24" t="s">
        <v>2875</v>
      </c>
      <c r="E12" s="24">
        <v>13</v>
      </c>
      <c r="F12" s="24" t="s">
        <v>2038</v>
      </c>
      <c r="G12" s="24" t="s">
        <v>2035</v>
      </c>
      <c r="H12" s="144" t="s">
        <v>2840</v>
      </c>
      <c r="I12">
        <v>0</v>
      </c>
      <c r="J12" s="24" t="str">
        <f t="shared" si="0"/>
        <v>2804E000</v>
      </c>
      <c r="K12" s="24" t="str">
        <f t="shared" si="2"/>
        <v>2804FFFF</v>
      </c>
      <c r="L12" s="130" t="str">
        <f t="shared" si="1"/>
        <v>2000</v>
      </c>
      <c r="M12" s="131">
        <f t="shared" si="3"/>
        <v>8</v>
      </c>
      <c r="N12" s="24">
        <f t="shared" si="4"/>
        <v>7.8125E-3</v>
      </c>
      <c r="O12" s="24">
        <f t="shared" si="4"/>
        <v>7.62939453125E-6</v>
      </c>
      <c r="P12" s="24" t="s">
        <v>2876</v>
      </c>
    </row>
    <row r="13" spans="1:38" x14ac:dyDescent="0.25">
      <c r="A13" s="143" t="s">
        <v>2036</v>
      </c>
      <c r="B13" s="24"/>
      <c r="C13" s="24">
        <v>5</v>
      </c>
      <c r="D13" s="24" t="s">
        <v>2877</v>
      </c>
      <c r="E13" s="24">
        <v>13</v>
      </c>
      <c r="F13" s="24" t="s">
        <v>2038</v>
      </c>
      <c r="G13" s="24" t="s">
        <v>2035</v>
      </c>
      <c r="H13" s="144" t="s">
        <v>2840</v>
      </c>
      <c r="I13">
        <v>0</v>
      </c>
      <c r="J13" s="24" t="str">
        <f t="shared" si="0"/>
        <v>28050000</v>
      </c>
      <c r="K13" s="24" t="str">
        <f t="shared" si="2"/>
        <v>28051FFF</v>
      </c>
      <c r="L13" s="130" t="str">
        <f t="shared" si="1"/>
        <v>2000</v>
      </c>
      <c r="M13" s="131">
        <f t="shared" si="3"/>
        <v>8</v>
      </c>
      <c r="N13" s="24">
        <f t="shared" si="4"/>
        <v>7.8125E-3</v>
      </c>
      <c r="O13" s="24">
        <f t="shared" si="4"/>
        <v>7.62939453125E-6</v>
      </c>
      <c r="P13" s="24" t="s">
        <v>2878</v>
      </c>
    </row>
    <row r="14" spans="1:38" x14ac:dyDescent="0.25">
      <c r="A14" s="143" t="s">
        <v>2036</v>
      </c>
      <c r="B14" s="24"/>
      <c r="C14" s="24">
        <v>6</v>
      </c>
      <c r="D14" s="24" t="s">
        <v>2879</v>
      </c>
      <c r="E14" s="24">
        <v>15</v>
      </c>
      <c r="F14" s="24" t="s">
        <v>2038</v>
      </c>
      <c r="G14" s="24" t="s">
        <v>2035</v>
      </c>
      <c r="H14" s="144" t="s">
        <v>2860</v>
      </c>
      <c r="I14" s="144">
        <v>0</v>
      </c>
      <c r="J14" s="24" t="str">
        <f t="shared" si="0"/>
        <v>28040000</v>
      </c>
      <c r="K14" s="24" t="str">
        <f t="shared" si="2"/>
        <v>28047FFF</v>
      </c>
      <c r="L14" s="130" t="str">
        <f t="shared" si="1"/>
        <v>8000</v>
      </c>
      <c r="M14" s="131">
        <f t="shared" si="3"/>
        <v>32</v>
      </c>
      <c r="N14" s="24">
        <f t="shared" si="4"/>
        <v>3.125E-2</v>
      </c>
      <c r="O14" s="24">
        <f t="shared" si="4"/>
        <v>3.0517578125E-5</v>
      </c>
      <c r="P14" s="24" t="s">
        <v>2874</v>
      </c>
    </row>
    <row r="15" spans="1:38" x14ac:dyDescent="0.25">
      <c r="A15" s="143" t="s">
        <v>2036</v>
      </c>
      <c r="B15" s="145"/>
      <c r="C15" s="145">
        <v>7</v>
      </c>
      <c r="D15" s="145" t="s">
        <v>2880</v>
      </c>
      <c r="E15" s="145">
        <v>13</v>
      </c>
      <c r="F15" s="145" t="s">
        <v>2038</v>
      </c>
      <c r="G15" s="145" t="s">
        <v>2035</v>
      </c>
      <c r="H15" s="146" t="s">
        <v>2860</v>
      </c>
      <c r="I15" s="146">
        <v>0</v>
      </c>
      <c r="J15" s="145" t="str">
        <f t="shared" si="0"/>
        <v>28046000</v>
      </c>
      <c r="K15" s="145" t="str">
        <f t="shared" si="2"/>
        <v>28047FFF</v>
      </c>
      <c r="L15" s="147" t="str">
        <f t="shared" si="1"/>
        <v>2000</v>
      </c>
      <c r="M15" s="145">
        <f>(HEX2DEC(L15)/1024)</f>
        <v>8</v>
      </c>
      <c r="N15" s="145">
        <f>M15/1024</f>
        <v>7.8125E-3</v>
      </c>
      <c r="O15" s="145">
        <f>N15/1024</f>
        <v>7.62939453125E-6</v>
      </c>
      <c r="P15" s="145" t="s">
        <v>2881</v>
      </c>
    </row>
    <row r="16" spans="1:38" s="122" customFormat="1" x14ac:dyDescent="0.25">
      <c r="A16" s="143" t="s">
        <v>2036</v>
      </c>
      <c r="B16" s="46"/>
      <c r="C16" s="46">
        <v>8</v>
      </c>
      <c r="D16" s="46" t="s">
        <v>2882</v>
      </c>
      <c r="E16" s="46">
        <v>15</v>
      </c>
      <c r="F16" s="46" t="s">
        <v>2038</v>
      </c>
      <c r="G16" s="46" t="s">
        <v>2035</v>
      </c>
      <c r="H16" s="73" t="s">
        <v>2860</v>
      </c>
      <c r="I16" s="73" t="s">
        <v>2883</v>
      </c>
      <c r="J16" s="46" t="str">
        <f t="shared" si="0"/>
        <v>28048000</v>
      </c>
      <c r="K16" s="46" t="str">
        <f t="shared" si="2"/>
        <v>2804FFFF</v>
      </c>
      <c r="L16" s="148" t="str">
        <f t="shared" si="1"/>
        <v>8000</v>
      </c>
      <c r="M16" s="46">
        <f>(HEX2DEC(L16)/1024)</f>
        <v>32</v>
      </c>
      <c r="N16" s="46">
        <f>M16/1024</f>
        <v>3.125E-2</v>
      </c>
      <c r="O16" s="46">
        <f>N16/1024</f>
        <v>3.0517578125E-5</v>
      </c>
      <c r="P16" s="46" t="s">
        <v>2884</v>
      </c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s="122" customFormat="1" x14ac:dyDescent="0.25">
      <c r="A17" s="143" t="s">
        <v>2036</v>
      </c>
      <c r="B17" s="24"/>
      <c r="C17" s="24">
        <v>9</v>
      </c>
      <c r="D17" s="24" t="s">
        <v>2885</v>
      </c>
      <c r="E17" s="24">
        <v>28</v>
      </c>
      <c r="F17" s="24" t="s">
        <v>2038</v>
      </c>
      <c r="G17" s="24" t="s">
        <v>2035</v>
      </c>
      <c r="H17" s="144" t="s">
        <v>2839</v>
      </c>
      <c r="I17" s="144">
        <v>0</v>
      </c>
      <c r="J17" s="24" t="str">
        <f t="shared" si="0"/>
        <v>60000000</v>
      </c>
      <c r="K17" s="24" t="str">
        <f t="shared" si="2"/>
        <v>6FFFFFFF</v>
      </c>
      <c r="L17" s="130" t="str">
        <f t="shared" si="1"/>
        <v>10000000</v>
      </c>
      <c r="M17" s="24">
        <f t="shared" si="3"/>
        <v>262144</v>
      </c>
      <c r="N17" s="131">
        <f t="shared" ref="N17:O23" si="5">M17/1024</f>
        <v>256</v>
      </c>
      <c r="O17" s="24">
        <f t="shared" si="5"/>
        <v>0.25</v>
      </c>
      <c r="P17" s="24" t="s">
        <v>2886</v>
      </c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s="122" customFormat="1" x14ac:dyDescent="0.25">
      <c r="A18" s="143" t="s">
        <v>2036</v>
      </c>
      <c r="B18" s="24"/>
      <c r="C18" s="24">
        <v>10</v>
      </c>
      <c r="D18" s="24" t="s">
        <v>2887</v>
      </c>
      <c r="E18" s="24">
        <v>28</v>
      </c>
      <c r="F18" s="24" t="s">
        <v>2038</v>
      </c>
      <c r="G18" s="24" t="s">
        <v>2035</v>
      </c>
      <c r="H18" s="144" t="s">
        <v>2839</v>
      </c>
      <c r="I18" s="144">
        <v>0</v>
      </c>
      <c r="J18" s="24" t="str">
        <f t="shared" si="0"/>
        <v>80000000</v>
      </c>
      <c r="K18" s="24" t="str">
        <f t="shared" si="2"/>
        <v>8FFFFFFF</v>
      </c>
      <c r="L18" s="130" t="str">
        <f t="shared" si="1"/>
        <v>10000000</v>
      </c>
      <c r="M18" s="24">
        <f t="shared" si="3"/>
        <v>262144</v>
      </c>
      <c r="N18" s="131">
        <f t="shared" si="5"/>
        <v>256</v>
      </c>
      <c r="O18" s="24">
        <f t="shared" si="5"/>
        <v>0.25</v>
      </c>
      <c r="P18" s="24" t="s">
        <v>2888</v>
      </c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s="122" customFormat="1" x14ac:dyDescent="0.25">
      <c r="A19" s="143" t="s">
        <v>2036</v>
      </c>
      <c r="B19" s="24"/>
      <c r="C19" s="24">
        <v>11</v>
      </c>
      <c r="D19" s="24" t="s">
        <v>2889</v>
      </c>
      <c r="E19" s="24">
        <v>17</v>
      </c>
      <c r="F19" s="24" t="s">
        <v>2038</v>
      </c>
      <c r="G19" s="24" t="s">
        <v>2890</v>
      </c>
      <c r="H19" s="144" t="s">
        <v>2839</v>
      </c>
      <c r="I19" s="144">
        <v>0</v>
      </c>
      <c r="J19" s="24" t="str">
        <f t="shared" si="0"/>
        <v>14000000</v>
      </c>
      <c r="K19" s="24" t="str">
        <f t="shared" si="2"/>
        <v>1401FFFF</v>
      </c>
      <c r="L19" s="130" t="str">
        <f t="shared" si="1"/>
        <v>20000</v>
      </c>
      <c r="M19" s="131">
        <f t="shared" si="3"/>
        <v>128</v>
      </c>
      <c r="N19" s="24">
        <f t="shared" si="5"/>
        <v>0.125</v>
      </c>
      <c r="O19" s="24">
        <f t="shared" si="5"/>
        <v>1.220703125E-4</v>
      </c>
      <c r="P19" s="24" t="s">
        <v>2891</v>
      </c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x14ac:dyDescent="0.25">
      <c r="A20" s="143" t="s">
        <v>2036</v>
      </c>
      <c r="B20" s="24"/>
      <c r="C20" s="24">
        <v>12</v>
      </c>
      <c r="D20" s="24" t="s">
        <v>2892</v>
      </c>
      <c r="E20" s="24">
        <v>24</v>
      </c>
      <c r="F20" s="24" t="s">
        <v>2038</v>
      </c>
      <c r="G20" s="24" t="s">
        <v>2035</v>
      </c>
      <c r="H20" s="144" t="s">
        <v>2860</v>
      </c>
      <c r="I20" s="144">
        <v>0</v>
      </c>
      <c r="J20" s="24" t="str">
        <f t="shared" si="0"/>
        <v>17000000</v>
      </c>
      <c r="K20" s="24" t="str">
        <f t="shared" si="2"/>
        <v>17FFFFFF</v>
      </c>
      <c r="L20" s="130" t="str">
        <f t="shared" si="1"/>
        <v>1000000</v>
      </c>
      <c r="M20" s="24">
        <f t="shared" si="3"/>
        <v>16384</v>
      </c>
      <c r="N20" s="131">
        <f t="shared" si="5"/>
        <v>16</v>
      </c>
      <c r="O20" s="24">
        <f t="shared" si="5"/>
        <v>1.5625E-2</v>
      </c>
      <c r="P20" s="24" t="s">
        <v>2893</v>
      </c>
    </row>
    <row r="21" spans="1:38" x14ac:dyDescent="0.25">
      <c r="A21" s="143" t="s">
        <v>2036</v>
      </c>
      <c r="B21" s="24"/>
      <c r="C21" s="24">
        <v>13</v>
      </c>
      <c r="D21" s="24" t="s">
        <v>2821</v>
      </c>
      <c r="E21" s="24">
        <v>16</v>
      </c>
      <c r="F21" s="24" t="s">
        <v>2038</v>
      </c>
      <c r="G21" s="24" t="s">
        <v>2890</v>
      </c>
      <c r="H21" s="144" t="s">
        <v>2839</v>
      </c>
      <c r="I21" s="144">
        <v>0</v>
      </c>
      <c r="J21" s="24" t="str">
        <f t="shared" si="0"/>
        <v>20000000</v>
      </c>
      <c r="K21" s="24" t="str">
        <f t="shared" si="2"/>
        <v>2000FFFF</v>
      </c>
      <c r="L21" s="130" t="str">
        <f t="shared" si="1"/>
        <v>10000</v>
      </c>
      <c r="M21" s="131">
        <f t="shared" si="3"/>
        <v>64</v>
      </c>
      <c r="N21" s="24">
        <f t="shared" si="5"/>
        <v>6.25E-2</v>
      </c>
      <c r="O21" s="24">
        <f t="shared" si="5"/>
        <v>6.103515625E-5</v>
      </c>
      <c r="P21" s="24" t="s">
        <v>2894</v>
      </c>
    </row>
    <row r="22" spans="1:38" x14ac:dyDescent="0.25">
      <c r="A22" s="143" t="s">
        <v>2036</v>
      </c>
      <c r="B22" s="24"/>
      <c r="C22" s="24">
        <v>14</v>
      </c>
      <c r="D22" s="24" t="s">
        <v>2859</v>
      </c>
      <c r="E22" s="24">
        <v>28</v>
      </c>
      <c r="F22" s="24" t="s">
        <v>2038</v>
      </c>
      <c r="G22" s="24" t="s">
        <v>2035</v>
      </c>
      <c r="H22" s="144" t="s">
        <v>2839</v>
      </c>
      <c r="I22" s="144">
        <v>0</v>
      </c>
      <c r="J22" s="24" t="str">
        <f t="shared" si="0"/>
        <v>40000000</v>
      </c>
      <c r="K22" s="24" t="str">
        <f t="shared" si="2"/>
        <v>4FFFFFFF</v>
      </c>
      <c r="L22" s="130" t="str">
        <f t="shared" si="1"/>
        <v>10000000</v>
      </c>
      <c r="M22" s="24">
        <f t="shared" si="3"/>
        <v>262144</v>
      </c>
      <c r="N22" s="131">
        <f t="shared" si="5"/>
        <v>256</v>
      </c>
      <c r="O22" s="24">
        <f t="shared" si="5"/>
        <v>0.25</v>
      </c>
      <c r="P22" s="24" t="s">
        <v>2895</v>
      </c>
    </row>
    <row r="23" spans="1:38" ht="15.75" thickBot="1" x14ac:dyDescent="0.3">
      <c r="A23" s="143" t="s">
        <v>2036</v>
      </c>
      <c r="B23" s="24"/>
      <c r="C23" s="24">
        <v>15</v>
      </c>
      <c r="D23" s="24" t="s">
        <v>2896</v>
      </c>
      <c r="E23" s="24">
        <v>21</v>
      </c>
      <c r="F23" s="24" t="s">
        <v>2038</v>
      </c>
      <c r="G23" s="24" t="s">
        <v>2890</v>
      </c>
      <c r="H23" s="144" t="s">
        <v>2840</v>
      </c>
      <c r="I23" s="144">
        <v>0</v>
      </c>
      <c r="J23" s="149" t="str">
        <f t="shared" si="0"/>
        <v>24000000</v>
      </c>
      <c r="K23" s="150" t="str">
        <f t="shared" si="2"/>
        <v>241FFFFF</v>
      </c>
      <c r="L23" s="151" t="str">
        <f t="shared" si="1"/>
        <v>200000</v>
      </c>
      <c r="M23" s="150">
        <f t="shared" si="3"/>
        <v>2048</v>
      </c>
      <c r="N23" s="152">
        <f t="shared" si="5"/>
        <v>2</v>
      </c>
      <c r="O23" s="150">
        <f t="shared" si="5"/>
        <v>1.953125E-3</v>
      </c>
      <c r="P23" s="150" t="s">
        <v>2897</v>
      </c>
    </row>
    <row r="24" spans="1:38" x14ac:dyDescent="0.25">
      <c r="A24" s="153" t="s">
        <v>2549</v>
      </c>
      <c r="B24" s="154">
        <v>15</v>
      </c>
      <c r="C24" s="154">
        <v>1</v>
      </c>
      <c r="D24" s="154" t="s">
        <v>2869</v>
      </c>
      <c r="E24" s="154">
        <v>28</v>
      </c>
      <c r="F24" s="154" t="s">
        <v>2038</v>
      </c>
      <c r="G24" s="154" t="s">
        <v>2035</v>
      </c>
      <c r="H24" s="155" t="s">
        <v>2860</v>
      </c>
      <c r="I24" s="155">
        <v>0</v>
      </c>
      <c r="J24" s="139" t="str">
        <f t="shared" si="0"/>
        <v>00000000</v>
      </c>
      <c r="K24" s="139" t="str">
        <f t="shared" si="2"/>
        <v>FFFFFFF</v>
      </c>
      <c r="L24" s="141" t="str">
        <f t="shared" si="1"/>
        <v>10000000</v>
      </c>
      <c r="M24" s="139">
        <f>(HEX2DEC(L24)/1024)</f>
        <v>262144</v>
      </c>
      <c r="N24" s="139">
        <f>M24/1024</f>
        <v>256</v>
      </c>
      <c r="O24" s="142">
        <f>N24/1024</f>
        <v>0.25</v>
      </c>
      <c r="P24" s="139" t="s">
        <v>2870</v>
      </c>
    </row>
    <row r="25" spans="1:38" x14ac:dyDescent="0.25">
      <c r="A25" s="143" t="s">
        <v>2549</v>
      </c>
      <c r="B25" s="24"/>
      <c r="C25" s="24">
        <v>2</v>
      </c>
      <c r="D25" s="24" t="s">
        <v>2871</v>
      </c>
      <c r="E25" s="24">
        <v>22</v>
      </c>
      <c r="F25" s="24" t="s">
        <v>2038</v>
      </c>
      <c r="G25" s="24" t="s">
        <v>2035</v>
      </c>
      <c r="H25" s="144" t="s">
        <v>2860</v>
      </c>
      <c r="I25" s="144">
        <v>0</v>
      </c>
      <c r="J25" s="24" t="str">
        <f t="shared" si="0"/>
        <v>10000000</v>
      </c>
      <c r="K25" s="24" t="str">
        <f t="shared" si="2"/>
        <v>103FFFFF</v>
      </c>
      <c r="L25" s="130" t="str">
        <f t="shared" si="1"/>
        <v>400000</v>
      </c>
      <c r="M25" s="24">
        <f t="shared" ref="M25:M29" si="6">(HEX2DEC(L25)/1024)</f>
        <v>4096</v>
      </c>
      <c r="N25" s="131">
        <f t="shared" ref="N25:O29" si="7">M25/1024</f>
        <v>4</v>
      </c>
      <c r="O25" s="24">
        <f t="shared" si="7"/>
        <v>3.90625E-3</v>
      </c>
      <c r="P25" s="24" t="s">
        <v>2872</v>
      </c>
    </row>
    <row r="26" spans="1:38" x14ac:dyDescent="0.25">
      <c r="A26" s="143" t="s">
        <v>2549</v>
      </c>
      <c r="B26" s="24"/>
      <c r="C26" s="24">
        <v>3</v>
      </c>
      <c r="D26" s="24" t="s">
        <v>2873</v>
      </c>
      <c r="E26" s="24">
        <v>18</v>
      </c>
      <c r="F26" s="24" t="s">
        <v>2038</v>
      </c>
      <c r="G26" s="24" t="s">
        <v>2035</v>
      </c>
      <c r="H26" s="144" t="s">
        <v>2860</v>
      </c>
      <c r="I26" s="144">
        <v>0</v>
      </c>
      <c r="J26" s="24" t="str">
        <f t="shared" si="0"/>
        <v>28000000</v>
      </c>
      <c r="K26" s="24" t="str">
        <f t="shared" si="2"/>
        <v>2803FFFF</v>
      </c>
      <c r="L26" s="130" t="str">
        <f t="shared" si="1"/>
        <v>40000</v>
      </c>
      <c r="M26" s="131">
        <f t="shared" si="6"/>
        <v>256</v>
      </c>
      <c r="N26" s="24">
        <f t="shared" si="7"/>
        <v>0.25</v>
      </c>
      <c r="O26" s="24">
        <f t="shared" si="7"/>
        <v>2.44140625E-4</v>
      </c>
      <c r="P26" s="24" t="s">
        <v>2874</v>
      </c>
    </row>
    <row r="27" spans="1:38" x14ac:dyDescent="0.25">
      <c r="A27" s="143" t="s">
        <v>2549</v>
      </c>
      <c r="B27" s="24"/>
      <c r="C27" s="24">
        <v>4</v>
      </c>
      <c r="D27" s="24" t="s">
        <v>2875</v>
      </c>
      <c r="E27" s="24">
        <v>13</v>
      </c>
      <c r="F27" s="24" t="s">
        <v>2038</v>
      </c>
      <c r="G27" s="24" t="s">
        <v>2035</v>
      </c>
      <c r="H27" s="144" t="s">
        <v>2840</v>
      </c>
      <c r="I27">
        <v>0</v>
      </c>
      <c r="J27" s="24" t="str">
        <f t="shared" si="0"/>
        <v>2804E000</v>
      </c>
      <c r="K27" s="24" t="str">
        <f t="shared" si="2"/>
        <v>2804FFFF</v>
      </c>
      <c r="L27" s="130" t="str">
        <f t="shared" si="1"/>
        <v>2000</v>
      </c>
      <c r="M27" s="131">
        <f t="shared" si="6"/>
        <v>8</v>
      </c>
      <c r="N27" s="24">
        <f t="shared" si="7"/>
        <v>7.8125E-3</v>
      </c>
      <c r="O27" s="24">
        <f t="shared" si="7"/>
        <v>7.62939453125E-6</v>
      </c>
      <c r="P27" s="24" t="s">
        <v>2876</v>
      </c>
    </row>
    <row r="28" spans="1:38" x14ac:dyDescent="0.25">
      <c r="A28" s="143" t="s">
        <v>2549</v>
      </c>
      <c r="B28" s="24"/>
      <c r="C28" s="24">
        <v>5</v>
      </c>
      <c r="D28" s="24" t="s">
        <v>2877</v>
      </c>
      <c r="E28" s="24">
        <v>13</v>
      </c>
      <c r="F28" s="24" t="s">
        <v>2038</v>
      </c>
      <c r="G28" s="24" t="s">
        <v>2035</v>
      </c>
      <c r="H28" s="144" t="s">
        <v>2840</v>
      </c>
      <c r="I28">
        <v>0</v>
      </c>
      <c r="J28" s="24" t="str">
        <f t="shared" si="0"/>
        <v>28050000</v>
      </c>
      <c r="K28" s="24" t="str">
        <f t="shared" si="2"/>
        <v>28051FFF</v>
      </c>
      <c r="L28" s="130" t="str">
        <f t="shared" si="1"/>
        <v>2000</v>
      </c>
      <c r="M28" s="131">
        <f t="shared" si="6"/>
        <v>8</v>
      </c>
      <c r="N28" s="24">
        <f t="shared" si="7"/>
        <v>7.8125E-3</v>
      </c>
      <c r="O28" s="24">
        <f t="shared" si="7"/>
        <v>7.62939453125E-6</v>
      </c>
      <c r="P28" s="24" t="s">
        <v>2878</v>
      </c>
    </row>
    <row r="29" spans="1:38" x14ac:dyDescent="0.25">
      <c r="A29" s="143" t="s">
        <v>2549</v>
      </c>
      <c r="B29" s="24"/>
      <c r="C29" s="24">
        <v>6</v>
      </c>
      <c r="D29" s="24" t="s">
        <v>2879</v>
      </c>
      <c r="E29" s="24">
        <v>15</v>
      </c>
      <c r="F29" s="24" t="s">
        <v>2038</v>
      </c>
      <c r="G29" s="24" t="s">
        <v>2035</v>
      </c>
      <c r="H29" s="144" t="s">
        <v>2860</v>
      </c>
      <c r="I29" s="144">
        <v>0</v>
      </c>
      <c r="J29" s="24" t="str">
        <f t="shared" si="0"/>
        <v>28040000</v>
      </c>
      <c r="K29" s="24" t="str">
        <f t="shared" si="2"/>
        <v>28047FFF</v>
      </c>
      <c r="L29" s="130" t="str">
        <f t="shared" si="1"/>
        <v>8000</v>
      </c>
      <c r="M29" s="131">
        <f t="shared" si="6"/>
        <v>32</v>
      </c>
      <c r="N29" s="24">
        <f t="shared" si="7"/>
        <v>3.125E-2</v>
      </c>
      <c r="O29" s="24">
        <f t="shared" si="7"/>
        <v>3.0517578125E-5</v>
      </c>
      <c r="P29" s="24" t="s">
        <v>2874</v>
      </c>
    </row>
    <row r="30" spans="1:38" x14ac:dyDescent="0.25">
      <c r="A30" s="143" t="s">
        <v>2549</v>
      </c>
      <c r="B30" s="156"/>
      <c r="C30" s="156">
        <v>7</v>
      </c>
      <c r="D30" s="156" t="s">
        <v>2880</v>
      </c>
      <c r="E30" s="156">
        <v>13</v>
      </c>
      <c r="F30" s="156" t="s">
        <v>2038</v>
      </c>
      <c r="G30" s="156" t="s">
        <v>2035</v>
      </c>
      <c r="H30" s="157" t="s">
        <v>2860</v>
      </c>
      <c r="I30" s="157">
        <v>0</v>
      </c>
      <c r="J30" s="156" t="str">
        <f t="shared" si="0"/>
        <v>28046000</v>
      </c>
      <c r="K30" s="156" t="str">
        <f t="shared" si="2"/>
        <v>28047FFF</v>
      </c>
      <c r="L30" s="158" t="str">
        <f t="shared" si="1"/>
        <v>2000</v>
      </c>
      <c r="M30" s="156">
        <f>(HEX2DEC(L30)/1024)</f>
        <v>8</v>
      </c>
      <c r="N30" s="156">
        <f>M30/1024</f>
        <v>7.8125E-3</v>
      </c>
      <c r="O30" s="156">
        <f>N30/1024</f>
        <v>7.62939453125E-6</v>
      </c>
      <c r="P30" s="156" t="s">
        <v>2881</v>
      </c>
    </row>
    <row r="31" spans="1:38" x14ac:dyDescent="0.25">
      <c r="A31" s="143" t="s">
        <v>2549</v>
      </c>
      <c r="B31" s="46"/>
      <c r="C31" s="46">
        <v>8</v>
      </c>
      <c r="D31" s="46" t="s">
        <v>2882</v>
      </c>
      <c r="E31" s="46">
        <v>15</v>
      </c>
      <c r="F31" s="46" t="s">
        <v>2038</v>
      </c>
      <c r="G31" s="46" t="s">
        <v>2035</v>
      </c>
      <c r="H31" s="73" t="s">
        <v>2860</v>
      </c>
      <c r="I31" s="73" t="s">
        <v>2883</v>
      </c>
      <c r="J31" s="46" t="str">
        <f t="shared" si="0"/>
        <v>28048000</v>
      </c>
      <c r="K31" s="46" t="str">
        <f t="shared" si="2"/>
        <v>2804FFFF</v>
      </c>
      <c r="L31" s="148" t="str">
        <f t="shared" si="1"/>
        <v>8000</v>
      </c>
      <c r="M31" s="46">
        <f>(HEX2DEC(L31)/1024)</f>
        <v>32</v>
      </c>
      <c r="N31" s="46">
        <f>M31/1024</f>
        <v>3.125E-2</v>
      </c>
      <c r="O31" s="46">
        <f>N31/1024</f>
        <v>3.0517578125E-5</v>
      </c>
      <c r="P31" s="46" t="s">
        <v>2884</v>
      </c>
    </row>
    <row r="32" spans="1:38" x14ac:dyDescent="0.25">
      <c r="A32" s="143" t="s">
        <v>2549</v>
      </c>
      <c r="B32" s="24"/>
      <c r="C32" s="24">
        <v>9</v>
      </c>
      <c r="D32" s="24" t="s">
        <v>2885</v>
      </c>
      <c r="E32" s="24">
        <v>28</v>
      </c>
      <c r="F32" s="24" t="s">
        <v>2038</v>
      </c>
      <c r="G32" s="24" t="s">
        <v>2035</v>
      </c>
      <c r="H32" s="144" t="s">
        <v>2839</v>
      </c>
      <c r="I32" s="144">
        <v>0</v>
      </c>
      <c r="J32" s="24" t="str">
        <f t="shared" si="0"/>
        <v>60000000</v>
      </c>
      <c r="K32" s="24" t="str">
        <f t="shared" si="2"/>
        <v>6FFFFFFF</v>
      </c>
      <c r="L32" s="130" t="str">
        <f t="shared" si="1"/>
        <v>10000000</v>
      </c>
      <c r="M32" s="24">
        <f t="shared" ref="M32:M53" si="8">(HEX2DEC(L32)/1024)</f>
        <v>262144</v>
      </c>
      <c r="N32" s="131">
        <f t="shared" ref="N32:O53" si="9">M32/1024</f>
        <v>256</v>
      </c>
      <c r="O32" s="24">
        <f t="shared" si="9"/>
        <v>0.25</v>
      </c>
      <c r="P32" s="24" t="s">
        <v>2886</v>
      </c>
    </row>
    <row r="33" spans="1:16" x14ac:dyDescent="0.25">
      <c r="A33" s="143" t="s">
        <v>2549</v>
      </c>
      <c r="B33" s="24"/>
      <c r="C33" s="24">
        <v>10</v>
      </c>
      <c r="D33" s="24" t="s">
        <v>2887</v>
      </c>
      <c r="E33" s="24">
        <v>28</v>
      </c>
      <c r="F33" s="24" t="s">
        <v>2038</v>
      </c>
      <c r="G33" s="24" t="s">
        <v>2035</v>
      </c>
      <c r="H33" s="144" t="s">
        <v>2839</v>
      </c>
      <c r="I33" s="144">
        <v>0</v>
      </c>
      <c r="J33" s="24" t="str">
        <f t="shared" si="0"/>
        <v>80000000</v>
      </c>
      <c r="K33" s="24" t="str">
        <f t="shared" si="2"/>
        <v>8FFFFFFF</v>
      </c>
      <c r="L33" s="130" t="str">
        <f t="shared" si="1"/>
        <v>10000000</v>
      </c>
      <c r="M33" s="24">
        <f t="shared" si="8"/>
        <v>262144</v>
      </c>
      <c r="N33" s="131">
        <f t="shared" si="9"/>
        <v>256</v>
      </c>
      <c r="O33" s="24">
        <f t="shared" si="9"/>
        <v>0.25</v>
      </c>
      <c r="P33" s="24" t="s">
        <v>2888</v>
      </c>
    </row>
    <row r="34" spans="1:16" x14ac:dyDescent="0.25">
      <c r="A34" s="143" t="s">
        <v>2549</v>
      </c>
      <c r="B34" s="24"/>
      <c r="C34" s="24">
        <v>11</v>
      </c>
      <c r="D34" s="24" t="s">
        <v>2889</v>
      </c>
      <c r="E34" s="24">
        <v>17</v>
      </c>
      <c r="F34" s="24" t="s">
        <v>2038</v>
      </c>
      <c r="G34" s="24" t="s">
        <v>2890</v>
      </c>
      <c r="H34" s="144" t="s">
        <v>2839</v>
      </c>
      <c r="I34" s="144">
        <v>0</v>
      </c>
      <c r="J34" s="24" t="str">
        <f t="shared" si="0"/>
        <v>14000000</v>
      </c>
      <c r="K34" s="24" t="str">
        <f t="shared" si="2"/>
        <v>1401FFFF</v>
      </c>
      <c r="L34" s="130" t="str">
        <f t="shared" si="1"/>
        <v>20000</v>
      </c>
      <c r="M34" s="131">
        <f t="shared" si="8"/>
        <v>128</v>
      </c>
      <c r="N34" s="24">
        <f t="shared" si="9"/>
        <v>0.125</v>
      </c>
      <c r="O34" s="24">
        <f t="shared" si="9"/>
        <v>1.220703125E-4</v>
      </c>
      <c r="P34" s="24" t="s">
        <v>2891</v>
      </c>
    </row>
    <row r="35" spans="1:16" x14ac:dyDescent="0.25">
      <c r="A35" s="143" t="s">
        <v>2549</v>
      </c>
      <c r="B35" s="24"/>
      <c r="C35" s="24">
        <v>12</v>
      </c>
      <c r="D35" s="24" t="s">
        <v>2892</v>
      </c>
      <c r="E35" s="24">
        <v>24</v>
      </c>
      <c r="F35" s="24" t="s">
        <v>2038</v>
      </c>
      <c r="G35" s="24" t="s">
        <v>2035</v>
      </c>
      <c r="H35" s="144" t="s">
        <v>2860</v>
      </c>
      <c r="I35" s="144">
        <v>0</v>
      </c>
      <c r="J35" s="24" t="str">
        <f t="shared" si="0"/>
        <v>17000000</v>
      </c>
      <c r="K35" s="24" t="str">
        <f t="shared" si="2"/>
        <v>17FFFFFF</v>
      </c>
      <c r="L35" s="130" t="str">
        <f t="shared" si="1"/>
        <v>1000000</v>
      </c>
      <c r="M35" s="24">
        <f t="shared" si="8"/>
        <v>16384</v>
      </c>
      <c r="N35" s="131">
        <f t="shared" si="9"/>
        <v>16</v>
      </c>
      <c r="O35" s="24">
        <f t="shared" si="9"/>
        <v>1.5625E-2</v>
      </c>
      <c r="P35" s="24" t="s">
        <v>2893</v>
      </c>
    </row>
    <row r="36" spans="1:16" x14ac:dyDescent="0.25">
      <c r="A36" s="143" t="s">
        <v>2549</v>
      </c>
      <c r="B36" s="24"/>
      <c r="C36" s="24">
        <v>13</v>
      </c>
      <c r="D36" s="24" t="s">
        <v>2821</v>
      </c>
      <c r="E36" s="24">
        <v>16</v>
      </c>
      <c r="F36" s="24" t="s">
        <v>2038</v>
      </c>
      <c r="G36" s="24" t="s">
        <v>2890</v>
      </c>
      <c r="H36" s="144" t="s">
        <v>2839</v>
      </c>
      <c r="I36" s="144">
        <v>0</v>
      </c>
      <c r="J36" s="24" t="str">
        <f t="shared" si="0"/>
        <v>20000000</v>
      </c>
      <c r="K36" s="24" t="str">
        <f t="shared" si="2"/>
        <v>2000FFFF</v>
      </c>
      <c r="L36" s="130" t="str">
        <f t="shared" si="1"/>
        <v>10000</v>
      </c>
      <c r="M36" s="131">
        <f t="shared" si="8"/>
        <v>64</v>
      </c>
      <c r="N36" s="24">
        <f t="shared" si="9"/>
        <v>6.25E-2</v>
      </c>
      <c r="O36" s="24">
        <f t="shared" si="9"/>
        <v>6.103515625E-5</v>
      </c>
      <c r="P36" s="24" t="s">
        <v>2894</v>
      </c>
    </row>
    <row r="37" spans="1:16" x14ac:dyDescent="0.25">
      <c r="A37" s="143" t="s">
        <v>2549</v>
      </c>
      <c r="B37" s="24"/>
      <c r="C37" s="24">
        <v>14</v>
      </c>
      <c r="D37" s="24" t="s">
        <v>2859</v>
      </c>
      <c r="E37" s="24">
        <v>28</v>
      </c>
      <c r="F37" s="24" t="s">
        <v>2038</v>
      </c>
      <c r="G37" s="24" t="s">
        <v>2035</v>
      </c>
      <c r="H37" s="144" t="s">
        <v>2839</v>
      </c>
      <c r="I37" s="144">
        <v>0</v>
      </c>
      <c r="J37" s="24" t="str">
        <f t="shared" si="0"/>
        <v>40000000</v>
      </c>
      <c r="K37" s="24" t="str">
        <f t="shared" si="2"/>
        <v>4FFFFFFF</v>
      </c>
      <c r="L37" s="130" t="str">
        <f t="shared" si="1"/>
        <v>10000000</v>
      </c>
      <c r="M37" s="24">
        <f t="shared" si="8"/>
        <v>262144</v>
      </c>
      <c r="N37" s="131">
        <f t="shared" si="9"/>
        <v>256</v>
      </c>
      <c r="O37" s="24">
        <f t="shared" si="9"/>
        <v>0.25</v>
      </c>
      <c r="P37" s="24" t="s">
        <v>2895</v>
      </c>
    </row>
    <row r="38" spans="1:16" ht="15.75" thickBot="1" x14ac:dyDescent="0.3">
      <c r="A38" s="149" t="s">
        <v>2549</v>
      </c>
      <c r="B38" s="150"/>
      <c r="C38" s="150">
        <v>15</v>
      </c>
      <c r="D38" s="150" t="s">
        <v>2896</v>
      </c>
      <c r="E38" s="150">
        <v>21</v>
      </c>
      <c r="F38" s="150" t="s">
        <v>2038</v>
      </c>
      <c r="G38" s="150" t="s">
        <v>2890</v>
      </c>
      <c r="H38" s="159" t="s">
        <v>2840</v>
      </c>
      <c r="I38" s="159">
        <v>0</v>
      </c>
      <c r="J38" s="149" t="str">
        <f t="shared" si="0"/>
        <v>24000000</v>
      </c>
      <c r="K38" s="150" t="str">
        <f t="shared" si="2"/>
        <v>241FFFFF</v>
      </c>
      <c r="L38" s="151" t="str">
        <f t="shared" si="1"/>
        <v>200000</v>
      </c>
      <c r="M38" s="150">
        <f t="shared" si="8"/>
        <v>2048</v>
      </c>
      <c r="N38" s="152">
        <f t="shared" si="9"/>
        <v>2</v>
      </c>
      <c r="O38" s="150">
        <f t="shared" si="9"/>
        <v>1.953125E-3</v>
      </c>
      <c r="P38" s="150" t="s">
        <v>2897</v>
      </c>
    </row>
    <row r="39" spans="1:16" x14ac:dyDescent="0.25">
      <c r="A39" s="160" t="s">
        <v>2868</v>
      </c>
      <c r="B39" s="154">
        <v>15</v>
      </c>
      <c r="C39" s="154">
        <v>1</v>
      </c>
      <c r="D39" s="154" t="s">
        <v>2869</v>
      </c>
      <c r="E39" s="154">
        <v>28</v>
      </c>
      <c r="F39" s="154" t="s">
        <v>2038</v>
      </c>
      <c r="G39" s="154" t="s">
        <v>2035</v>
      </c>
      <c r="H39" s="155" t="s">
        <v>2860</v>
      </c>
      <c r="I39" s="155">
        <v>0</v>
      </c>
      <c r="J39" s="139" t="str">
        <f t="shared" si="0"/>
        <v>00000000</v>
      </c>
      <c r="K39" s="139" t="str">
        <f t="shared" si="2"/>
        <v>FFFFFFF</v>
      </c>
      <c r="L39" s="141" t="str">
        <f t="shared" si="1"/>
        <v>10000000</v>
      </c>
      <c r="M39" s="139">
        <f t="shared" si="8"/>
        <v>262144</v>
      </c>
      <c r="N39" s="142">
        <f t="shared" si="9"/>
        <v>256</v>
      </c>
      <c r="O39" s="139">
        <f t="shared" si="9"/>
        <v>0.25</v>
      </c>
      <c r="P39" s="139" t="s">
        <v>2870</v>
      </c>
    </row>
    <row r="40" spans="1:16" x14ac:dyDescent="0.25">
      <c r="A40" s="161" t="s">
        <v>2868</v>
      </c>
      <c r="B40" s="24"/>
      <c r="C40" s="139">
        <v>2</v>
      </c>
      <c r="D40" s="24" t="s">
        <v>2871</v>
      </c>
      <c r="E40" s="24">
        <v>22</v>
      </c>
      <c r="F40" s="24" t="s">
        <v>2038</v>
      </c>
      <c r="G40" s="24" t="s">
        <v>2035</v>
      </c>
      <c r="H40" s="144" t="s">
        <v>2860</v>
      </c>
      <c r="I40" s="144">
        <v>0</v>
      </c>
      <c r="J40" s="24" t="str">
        <f t="shared" si="0"/>
        <v>10000000</v>
      </c>
      <c r="K40" s="24" t="str">
        <f t="shared" si="2"/>
        <v>103FFFFF</v>
      </c>
      <c r="L40" s="130" t="str">
        <f t="shared" si="1"/>
        <v>400000</v>
      </c>
      <c r="M40" s="24">
        <f t="shared" si="8"/>
        <v>4096</v>
      </c>
      <c r="N40" s="131">
        <f t="shared" si="9"/>
        <v>4</v>
      </c>
      <c r="O40" s="24">
        <f t="shared" si="9"/>
        <v>3.90625E-3</v>
      </c>
      <c r="P40" s="24" t="s">
        <v>2872</v>
      </c>
    </row>
    <row r="41" spans="1:16" x14ac:dyDescent="0.25">
      <c r="A41" s="161" t="s">
        <v>2868</v>
      </c>
      <c r="B41" s="24"/>
      <c r="C41" s="139">
        <v>3</v>
      </c>
      <c r="D41" s="24" t="s">
        <v>2873</v>
      </c>
      <c r="E41" s="24">
        <v>18</v>
      </c>
      <c r="F41" s="24" t="s">
        <v>2038</v>
      </c>
      <c r="G41" s="24" t="s">
        <v>2035</v>
      </c>
      <c r="H41" s="144" t="s">
        <v>2860</v>
      </c>
      <c r="I41" s="144">
        <v>0</v>
      </c>
      <c r="J41" s="24" t="str">
        <f t="shared" si="0"/>
        <v>28000000</v>
      </c>
      <c r="K41" s="24" t="str">
        <f t="shared" si="2"/>
        <v>2803FFFF</v>
      </c>
      <c r="L41" s="130" t="str">
        <f t="shared" si="1"/>
        <v>40000</v>
      </c>
      <c r="M41" s="24">
        <f t="shared" si="8"/>
        <v>256</v>
      </c>
      <c r="N41" s="131">
        <f t="shared" si="9"/>
        <v>0.25</v>
      </c>
      <c r="O41" s="24">
        <f t="shared" si="9"/>
        <v>2.44140625E-4</v>
      </c>
      <c r="P41" s="24" t="s">
        <v>2874</v>
      </c>
    </row>
    <row r="42" spans="1:16" x14ac:dyDescent="0.25">
      <c r="A42" s="161" t="s">
        <v>2868</v>
      </c>
      <c r="B42" s="24"/>
      <c r="C42" s="139">
        <v>4</v>
      </c>
      <c r="D42" s="24" t="s">
        <v>2875</v>
      </c>
      <c r="E42" s="24">
        <v>13</v>
      </c>
      <c r="F42" s="24" t="s">
        <v>2038</v>
      </c>
      <c r="G42" s="24" t="s">
        <v>2035</v>
      </c>
      <c r="H42" s="144" t="s">
        <v>2840</v>
      </c>
      <c r="I42" s="144">
        <v>0</v>
      </c>
      <c r="J42" s="24" t="str">
        <f t="shared" si="0"/>
        <v>2804E000</v>
      </c>
      <c r="K42" s="24" t="str">
        <f t="shared" si="2"/>
        <v>2804FFFF</v>
      </c>
      <c r="L42" s="130" t="str">
        <f t="shared" si="1"/>
        <v>2000</v>
      </c>
      <c r="M42" s="24">
        <f t="shared" si="8"/>
        <v>8</v>
      </c>
      <c r="N42" s="131">
        <f t="shared" si="9"/>
        <v>7.8125E-3</v>
      </c>
      <c r="O42" s="24">
        <f t="shared" si="9"/>
        <v>7.62939453125E-6</v>
      </c>
      <c r="P42" s="24" t="s">
        <v>2876</v>
      </c>
    </row>
    <row r="43" spans="1:16" x14ac:dyDescent="0.25">
      <c r="A43" s="161" t="s">
        <v>2868</v>
      </c>
      <c r="B43" s="24"/>
      <c r="C43" s="139">
        <v>5</v>
      </c>
      <c r="D43" s="24" t="s">
        <v>2877</v>
      </c>
      <c r="E43" s="24">
        <v>13</v>
      </c>
      <c r="F43" s="24" t="s">
        <v>2038</v>
      </c>
      <c r="G43" s="24" t="s">
        <v>2035</v>
      </c>
      <c r="H43" s="144" t="s">
        <v>2840</v>
      </c>
      <c r="I43" s="144">
        <v>0</v>
      </c>
      <c r="J43" s="24" t="str">
        <f t="shared" si="0"/>
        <v>28050000</v>
      </c>
      <c r="K43" s="24" t="str">
        <f t="shared" si="2"/>
        <v>28051FFF</v>
      </c>
      <c r="L43" s="130" t="str">
        <f t="shared" si="1"/>
        <v>2000</v>
      </c>
      <c r="M43" s="24">
        <f t="shared" si="8"/>
        <v>8</v>
      </c>
      <c r="N43" s="131">
        <f t="shared" si="9"/>
        <v>7.8125E-3</v>
      </c>
      <c r="O43" s="24">
        <f t="shared" si="9"/>
        <v>7.62939453125E-6</v>
      </c>
      <c r="P43" s="24" t="s">
        <v>2878</v>
      </c>
    </row>
    <row r="44" spans="1:16" x14ac:dyDescent="0.25">
      <c r="A44" s="161" t="s">
        <v>2868</v>
      </c>
      <c r="B44" s="24"/>
      <c r="C44" s="139">
        <v>6</v>
      </c>
      <c r="D44" s="24" t="s">
        <v>2879</v>
      </c>
      <c r="E44" s="24">
        <v>15</v>
      </c>
      <c r="F44" s="24" t="s">
        <v>2038</v>
      </c>
      <c r="G44" s="24" t="s">
        <v>2035</v>
      </c>
      <c r="H44" s="144" t="s">
        <v>2860</v>
      </c>
      <c r="I44" s="144">
        <v>0</v>
      </c>
      <c r="J44" s="24" t="str">
        <f t="shared" si="0"/>
        <v>28040000</v>
      </c>
      <c r="K44" s="24" t="str">
        <f t="shared" si="2"/>
        <v>28047FFF</v>
      </c>
      <c r="L44" s="130" t="str">
        <f t="shared" si="1"/>
        <v>8000</v>
      </c>
      <c r="M44" s="24">
        <f t="shared" si="8"/>
        <v>32</v>
      </c>
      <c r="N44" s="131">
        <f t="shared" si="9"/>
        <v>3.125E-2</v>
      </c>
      <c r="O44" s="24">
        <f t="shared" si="9"/>
        <v>3.0517578125E-5</v>
      </c>
      <c r="P44" s="24" t="s">
        <v>2874</v>
      </c>
    </row>
    <row r="45" spans="1:16" x14ac:dyDescent="0.25">
      <c r="A45" s="161" t="s">
        <v>2868</v>
      </c>
      <c r="B45" s="145"/>
      <c r="C45" s="162">
        <v>7</v>
      </c>
      <c r="D45" s="145" t="s">
        <v>2880</v>
      </c>
      <c r="E45" s="145">
        <v>13</v>
      </c>
      <c r="F45" s="145" t="s">
        <v>2038</v>
      </c>
      <c r="G45" s="145" t="s">
        <v>2035</v>
      </c>
      <c r="H45" s="146" t="s">
        <v>2860</v>
      </c>
      <c r="I45" s="146">
        <v>0</v>
      </c>
      <c r="J45" s="145" t="str">
        <f t="shared" si="0"/>
        <v>28046000</v>
      </c>
      <c r="K45" s="145" t="str">
        <f t="shared" si="2"/>
        <v>28047FFF</v>
      </c>
      <c r="L45" s="147" t="str">
        <f t="shared" si="1"/>
        <v>2000</v>
      </c>
      <c r="M45" s="145">
        <f t="shared" si="8"/>
        <v>8</v>
      </c>
      <c r="N45" s="145">
        <f t="shared" si="9"/>
        <v>7.8125E-3</v>
      </c>
      <c r="O45" s="145">
        <f t="shared" si="9"/>
        <v>7.62939453125E-6</v>
      </c>
      <c r="P45" s="145" t="s">
        <v>2881</v>
      </c>
    </row>
    <row r="46" spans="1:16" x14ac:dyDescent="0.25">
      <c r="A46" s="161" t="s">
        <v>2868</v>
      </c>
      <c r="B46" s="46"/>
      <c r="C46" s="163">
        <v>8</v>
      </c>
      <c r="D46" s="46" t="s">
        <v>2882</v>
      </c>
      <c r="E46" s="46">
        <v>15</v>
      </c>
      <c r="F46" s="46" t="s">
        <v>2038</v>
      </c>
      <c r="G46" s="46" t="s">
        <v>2035</v>
      </c>
      <c r="H46" s="73" t="s">
        <v>2860</v>
      </c>
      <c r="I46" s="73" t="s">
        <v>2883</v>
      </c>
      <c r="J46" s="46" t="str">
        <f t="shared" si="0"/>
        <v>28048000</v>
      </c>
      <c r="K46" s="46" t="str">
        <f t="shared" si="2"/>
        <v>2804FFFF</v>
      </c>
      <c r="L46" s="148" t="str">
        <f t="shared" si="1"/>
        <v>8000</v>
      </c>
      <c r="M46" s="46">
        <f t="shared" si="8"/>
        <v>32</v>
      </c>
      <c r="N46" s="46">
        <f t="shared" si="9"/>
        <v>3.125E-2</v>
      </c>
      <c r="O46" s="46">
        <f t="shared" si="9"/>
        <v>3.0517578125E-5</v>
      </c>
      <c r="P46" s="46" t="s">
        <v>2884</v>
      </c>
    </row>
    <row r="47" spans="1:16" x14ac:dyDescent="0.25">
      <c r="A47" s="161" t="s">
        <v>2868</v>
      </c>
      <c r="B47" s="24"/>
      <c r="C47" s="139">
        <v>9</v>
      </c>
      <c r="D47" s="24" t="s">
        <v>2885</v>
      </c>
      <c r="E47" s="24">
        <v>28</v>
      </c>
      <c r="F47" s="24" t="s">
        <v>2038</v>
      </c>
      <c r="G47" s="24" t="s">
        <v>2035</v>
      </c>
      <c r="H47" s="144" t="s">
        <v>2839</v>
      </c>
      <c r="I47" s="144">
        <v>0</v>
      </c>
      <c r="J47" s="24" t="str">
        <f t="shared" si="0"/>
        <v>60000000</v>
      </c>
      <c r="K47" s="24" t="str">
        <f t="shared" si="2"/>
        <v>6FFFFFFF</v>
      </c>
      <c r="L47" s="130" t="str">
        <f t="shared" si="1"/>
        <v>10000000</v>
      </c>
      <c r="M47" s="24">
        <f t="shared" si="8"/>
        <v>262144</v>
      </c>
      <c r="N47" s="131">
        <f t="shared" si="9"/>
        <v>256</v>
      </c>
      <c r="O47" s="24">
        <f t="shared" si="9"/>
        <v>0.25</v>
      </c>
      <c r="P47" s="24" t="s">
        <v>2886</v>
      </c>
    </row>
    <row r="48" spans="1:16" x14ac:dyDescent="0.25">
      <c r="A48" s="161" t="s">
        <v>2868</v>
      </c>
      <c r="B48" s="24"/>
      <c r="C48" s="139">
        <v>10</v>
      </c>
      <c r="D48" s="24" t="s">
        <v>2887</v>
      </c>
      <c r="E48" s="24">
        <v>28</v>
      </c>
      <c r="F48" s="24" t="s">
        <v>2038</v>
      </c>
      <c r="G48" s="24" t="s">
        <v>2035</v>
      </c>
      <c r="H48" s="144" t="s">
        <v>2839</v>
      </c>
      <c r="I48" s="144">
        <v>0</v>
      </c>
      <c r="J48" s="24" t="str">
        <f t="shared" si="0"/>
        <v>80000000</v>
      </c>
      <c r="K48" s="24" t="str">
        <f t="shared" si="2"/>
        <v>8FFFFFFF</v>
      </c>
      <c r="L48" s="130" t="str">
        <f t="shared" si="1"/>
        <v>10000000</v>
      </c>
      <c r="M48" s="24">
        <f t="shared" si="8"/>
        <v>262144</v>
      </c>
      <c r="N48" s="131">
        <f t="shared" si="9"/>
        <v>256</v>
      </c>
      <c r="O48" s="24">
        <f t="shared" si="9"/>
        <v>0.25</v>
      </c>
      <c r="P48" s="24" t="s">
        <v>2888</v>
      </c>
    </row>
    <row r="49" spans="1:16" x14ac:dyDescent="0.25">
      <c r="A49" s="161" t="s">
        <v>2868</v>
      </c>
      <c r="B49" s="24"/>
      <c r="C49" s="139">
        <v>11</v>
      </c>
      <c r="D49" s="24" t="s">
        <v>2889</v>
      </c>
      <c r="E49" s="24">
        <v>17</v>
      </c>
      <c r="F49" s="24" t="s">
        <v>2038</v>
      </c>
      <c r="G49" s="24" t="s">
        <v>2890</v>
      </c>
      <c r="H49" s="144" t="s">
        <v>2839</v>
      </c>
      <c r="I49" s="144">
        <v>0</v>
      </c>
      <c r="J49" s="24" t="str">
        <f t="shared" si="0"/>
        <v>14000000</v>
      </c>
      <c r="K49" s="24" t="str">
        <f t="shared" si="2"/>
        <v>1401FFFF</v>
      </c>
      <c r="L49" s="130" t="str">
        <f t="shared" si="1"/>
        <v>20000</v>
      </c>
      <c r="M49" s="24">
        <f t="shared" si="8"/>
        <v>128</v>
      </c>
      <c r="N49" s="131">
        <f t="shared" si="9"/>
        <v>0.125</v>
      </c>
      <c r="O49" s="24">
        <f t="shared" si="9"/>
        <v>1.220703125E-4</v>
      </c>
      <c r="P49" s="24" t="s">
        <v>2891</v>
      </c>
    </row>
    <row r="50" spans="1:16" x14ac:dyDescent="0.25">
      <c r="A50" s="161" t="s">
        <v>2868</v>
      </c>
      <c r="B50" s="24"/>
      <c r="C50" s="139">
        <v>12</v>
      </c>
      <c r="D50" s="24" t="s">
        <v>2892</v>
      </c>
      <c r="E50" s="24">
        <v>24</v>
      </c>
      <c r="F50" s="24" t="s">
        <v>2038</v>
      </c>
      <c r="G50" s="24" t="s">
        <v>2035</v>
      </c>
      <c r="H50" s="144" t="s">
        <v>2860</v>
      </c>
      <c r="I50" s="144">
        <v>0</v>
      </c>
      <c r="J50" s="24" t="str">
        <f t="shared" si="0"/>
        <v>17000000</v>
      </c>
      <c r="K50" s="24" t="str">
        <f t="shared" si="2"/>
        <v>17FFFFFF</v>
      </c>
      <c r="L50" s="130" t="str">
        <f t="shared" si="1"/>
        <v>1000000</v>
      </c>
      <c r="M50" s="24">
        <f t="shared" si="8"/>
        <v>16384</v>
      </c>
      <c r="N50" s="131">
        <f t="shared" si="9"/>
        <v>16</v>
      </c>
      <c r="O50" s="24">
        <f t="shared" si="9"/>
        <v>1.5625E-2</v>
      </c>
      <c r="P50" s="24" t="s">
        <v>2893</v>
      </c>
    </row>
    <row r="51" spans="1:16" x14ac:dyDescent="0.25">
      <c r="A51" s="161" t="s">
        <v>2868</v>
      </c>
      <c r="B51" s="24"/>
      <c r="C51" s="139">
        <v>13</v>
      </c>
      <c r="D51" s="24" t="s">
        <v>2821</v>
      </c>
      <c r="E51" s="24">
        <v>16</v>
      </c>
      <c r="F51" s="24" t="s">
        <v>2038</v>
      </c>
      <c r="G51" s="24" t="s">
        <v>2890</v>
      </c>
      <c r="H51" s="144" t="s">
        <v>2839</v>
      </c>
      <c r="I51" s="144">
        <v>0</v>
      </c>
      <c r="J51" s="24" t="str">
        <f t="shared" si="0"/>
        <v>20000000</v>
      </c>
      <c r="K51" s="24" t="str">
        <f t="shared" si="2"/>
        <v>2000FFFF</v>
      </c>
      <c r="L51" s="130" t="str">
        <f t="shared" si="1"/>
        <v>10000</v>
      </c>
      <c r="M51" s="24">
        <f t="shared" si="8"/>
        <v>64</v>
      </c>
      <c r="N51" s="131">
        <f t="shared" si="9"/>
        <v>6.25E-2</v>
      </c>
      <c r="O51" s="24">
        <f t="shared" si="9"/>
        <v>6.103515625E-5</v>
      </c>
      <c r="P51" s="24" t="s">
        <v>2894</v>
      </c>
    </row>
    <row r="52" spans="1:16" x14ac:dyDescent="0.25">
      <c r="A52" s="161" t="s">
        <v>2868</v>
      </c>
      <c r="B52" s="24"/>
      <c r="C52" s="139">
        <v>14</v>
      </c>
      <c r="D52" s="24" t="s">
        <v>2859</v>
      </c>
      <c r="E52" s="24">
        <v>28</v>
      </c>
      <c r="F52" s="24" t="s">
        <v>2038</v>
      </c>
      <c r="G52" s="24" t="s">
        <v>2035</v>
      </c>
      <c r="H52" s="144" t="s">
        <v>2839</v>
      </c>
      <c r="I52" s="144">
        <v>0</v>
      </c>
      <c r="J52" s="24" t="str">
        <f t="shared" si="0"/>
        <v>40000000</v>
      </c>
      <c r="K52" s="24" t="str">
        <f t="shared" si="2"/>
        <v>4FFFFFFF</v>
      </c>
      <c r="L52" s="130" t="str">
        <f t="shared" si="1"/>
        <v>10000000</v>
      </c>
      <c r="M52" s="24">
        <f t="shared" si="8"/>
        <v>262144</v>
      </c>
      <c r="N52" s="131">
        <f t="shared" si="9"/>
        <v>256</v>
      </c>
      <c r="O52" s="24">
        <f t="shared" si="9"/>
        <v>0.25</v>
      </c>
      <c r="P52" s="24" t="s">
        <v>2895</v>
      </c>
    </row>
    <row r="53" spans="1:16" ht="15.75" thickBot="1" x14ac:dyDescent="0.3">
      <c r="A53" s="164" t="s">
        <v>2868</v>
      </c>
      <c r="B53" s="150"/>
      <c r="C53" s="150">
        <v>15</v>
      </c>
      <c r="D53" s="150" t="s">
        <v>2896</v>
      </c>
      <c r="E53" s="150">
        <v>21</v>
      </c>
      <c r="F53" s="150" t="s">
        <v>2038</v>
      </c>
      <c r="G53" s="150" t="s">
        <v>2890</v>
      </c>
      <c r="H53" s="159" t="s">
        <v>2840</v>
      </c>
      <c r="I53" s="159">
        <v>0</v>
      </c>
      <c r="J53" s="149" t="str">
        <f t="shared" si="0"/>
        <v>24000000</v>
      </c>
      <c r="K53" s="150" t="str">
        <f t="shared" si="2"/>
        <v>241FFFFF</v>
      </c>
      <c r="L53" s="151" t="str">
        <f t="shared" si="1"/>
        <v>200000</v>
      </c>
      <c r="M53" s="150">
        <f t="shared" si="8"/>
        <v>2048</v>
      </c>
      <c r="N53" s="152">
        <f t="shared" si="9"/>
        <v>2</v>
      </c>
      <c r="O53" s="150">
        <f t="shared" si="9"/>
        <v>1.953125E-3</v>
      </c>
      <c r="P53" s="150" t="s">
        <v>2897</v>
      </c>
    </row>
    <row r="54" spans="1:16" x14ac:dyDescent="0.25">
      <c r="A54" s="161"/>
      <c r="B54" s="139"/>
      <c r="C54" s="139"/>
      <c r="D54" s="139"/>
      <c r="E54" s="139"/>
      <c r="F54" s="139"/>
      <c r="G54" s="139"/>
      <c r="H54" s="140"/>
      <c r="I54" s="140"/>
    </row>
    <row r="55" spans="1:16" x14ac:dyDescent="0.25">
      <c r="A55" s="165"/>
      <c r="B55" s="24"/>
      <c r="C55" s="139"/>
      <c r="D55" s="24"/>
      <c r="E55" s="24"/>
      <c r="F55" s="24"/>
      <c r="G55" s="24"/>
      <c r="H55" s="144"/>
      <c r="I55" s="144"/>
    </row>
    <row r="56" spans="1:16" ht="15.75" thickBot="1" x14ac:dyDescent="0.3">
      <c r="A56" s="149"/>
      <c r="B56" s="150"/>
      <c r="C56" s="150"/>
      <c r="D56" s="150"/>
      <c r="E56" s="150"/>
      <c r="F56" s="150"/>
      <c r="G56" s="150"/>
      <c r="H56" s="159"/>
      <c r="I56" s="159"/>
    </row>
  </sheetData>
  <mergeCells count="6">
    <mergeCell ref="F7:I7"/>
    <mergeCell ref="A7:A8"/>
    <mergeCell ref="B7:B8"/>
    <mergeCell ref="C7:C8"/>
    <mergeCell ref="D7:D8"/>
    <mergeCell ref="E7:E8"/>
  </mergeCells>
  <dataValidations count="3">
    <dataValidation type="list" allowBlank="1" showInputMessage="1" showErrorMessage="1" sqref="F9:F56" xr:uid="{BD604C81-5F50-44BD-A295-56F43CB8AF3E}">
      <formula1>"S_NONE_U_NONE,S_RW_U_NONE,S_RW_U_R,S_RW_U_RW,S_R_U_NONE,S_R_U_R"</formula1>
    </dataValidation>
    <dataValidation type="list" allowBlank="1" showInputMessage="1" showErrorMessage="1" sqref="G9:G56" xr:uid="{89CC753B-AD9A-4238-86D3-09297F7B262B}">
      <formula1>"EXECUTE_ALLOWED,EXECUTE_FORBIDDEN"</formula1>
    </dataValidation>
    <dataValidation type="list" allowBlank="1" showInputMessage="1" showErrorMessage="1" sqref="H9:H56" xr:uid="{835543C2-0443-490B-B773-E52B0A19A84A}">
      <formula1>"STRONGLY_ORDERED,NON_CACHEABLE,CACHEABLE_WRITEBACK_ALLOCATE,SHARED_DEVICE,NON_SHARED_DEVICE,CACHEABLE_WRITETHROUGH_NO_ALLOCATE,CACHEABLE_WRITEBACK_NO_ALLOCATE"</formula1>
    </dataValidation>
  </dataValidations>
  <pageMargins left="0.7" right="0.7" top="0.75" bottom="0.75" header="0.3" footer="0.3"/>
  <pageSetup orientation="portrait" horizontalDpi="300" verticalDpi="3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9"/>
  <dimension ref="A2:J50"/>
  <sheetViews>
    <sheetView workbookViewId="0">
      <selection activeCell="D21" sqref="D21"/>
    </sheetView>
  </sheetViews>
  <sheetFormatPr defaultRowHeight="15" x14ac:dyDescent="0.25"/>
  <cols>
    <col min="1" max="1" width="5.7109375" customWidth="1"/>
    <col min="2" max="2" width="21" customWidth="1"/>
    <col min="3" max="10" width="26.7109375" customWidth="1"/>
  </cols>
  <sheetData>
    <row r="2" spans="1:10" x14ac:dyDescent="0.25">
      <c r="B2" s="123" t="s">
        <v>2834</v>
      </c>
      <c r="C2" s="123">
        <f>COUNTA(B6:B50)</f>
        <v>11</v>
      </c>
    </row>
    <row r="5" spans="1:10" x14ac:dyDescent="0.25">
      <c r="A5" s="71" t="s">
        <v>699</v>
      </c>
      <c r="B5" s="71" t="s">
        <v>2835</v>
      </c>
      <c r="C5" s="71" t="s">
        <v>2836</v>
      </c>
      <c r="D5" s="71" t="s">
        <v>2836</v>
      </c>
      <c r="E5" s="71" t="s">
        <v>2836</v>
      </c>
      <c r="F5" s="71" t="s">
        <v>2836</v>
      </c>
      <c r="G5" s="71" t="s">
        <v>2836</v>
      </c>
      <c r="H5" s="71" t="s">
        <v>2836</v>
      </c>
      <c r="I5" s="71" t="s">
        <v>2836</v>
      </c>
      <c r="J5" s="71" t="s">
        <v>2836</v>
      </c>
    </row>
    <row r="6" spans="1:10" x14ac:dyDescent="0.25">
      <c r="A6" s="124">
        <v>0</v>
      </c>
      <c r="B6" s="124" t="s">
        <v>2837</v>
      </c>
      <c r="C6" s="125"/>
      <c r="D6" s="125"/>
      <c r="E6" s="125"/>
      <c r="F6" s="125"/>
      <c r="G6" s="125"/>
      <c r="H6" s="125"/>
      <c r="I6" s="125"/>
      <c r="J6" s="125"/>
    </row>
    <row r="7" spans="1:10" x14ac:dyDescent="0.25">
      <c r="A7" s="123">
        <v>1</v>
      </c>
      <c r="B7" s="123" t="s">
        <v>2898</v>
      </c>
      <c r="C7" s="125" t="s">
        <v>2899</v>
      </c>
      <c r="D7" s="125" t="s">
        <v>2900</v>
      </c>
      <c r="E7" s="125" t="s">
        <v>2901</v>
      </c>
      <c r="F7" s="125" t="s">
        <v>2902</v>
      </c>
      <c r="G7" s="125"/>
      <c r="H7" s="125"/>
      <c r="I7" s="125"/>
      <c r="J7" s="125"/>
    </row>
    <row r="8" spans="1:10" x14ac:dyDescent="0.25">
      <c r="A8" s="123">
        <v>2</v>
      </c>
      <c r="B8" s="123" t="s">
        <v>2903</v>
      </c>
      <c r="C8" s="125" t="s">
        <v>2899</v>
      </c>
      <c r="D8" s="125" t="s">
        <v>2900</v>
      </c>
      <c r="E8" s="125" t="s">
        <v>2901</v>
      </c>
      <c r="F8" s="125" t="s">
        <v>2902</v>
      </c>
      <c r="G8" s="125" t="s">
        <v>2904</v>
      </c>
      <c r="H8" s="125" t="s">
        <v>2775</v>
      </c>
      <c r="I8" s="125"/>
      <c r="J8" s="125"/>
    </row>
    <row r="9" spans="1:10" x14ac:dyDescent="0.25">
      <c r="A9" s="123">
        <v>3</v>
      </c>
      <c r="B9" s="123" t="s">
        <v>2905</v>
      </c>
      <c r="C9" s="125" t="s">
        <v>2899</v>
      </c>
      <c r="D9" s="125" t="s">
        <v>2900</v>
      </c>
      <c r="E9" s="125" t="s">
        <v>2901</v>
      </c>
      <c r="F9" s="125" t="s">
        <v>2902</v>
      </c>
      <c r="G9" s="125" t="s">
        <v>2904</v>
      </c>
      <c r="H9" s="125" t="s">
        <v>2775</v>
      </c>
      <c r="I9" s="125"/>
      <c r="J9" s="125"/>
    </row>
    <row r="10" spans="1:10" x14ac:dyDescent="0.25">
      <c r="A10" s="123">
        <v>4</v>
      </c>
      <c r="B10" s="123" t="s">
        <v>2906</v>
      </c>
      <c r="C10" s="125" t="s">
        <v>2899</v>
      </c>
      <c r="D10" s="125" t="s">
        <v>2900</v>
      </c>
      <c r="E10" s="125" t="s">
        <v>2901</v>
      </c>
      <c r="F10" s="125" t="s">
        <v>2902</v>
      </c>
      <c r="G10" s="125"/>
      <c r="H10" s="125"/>
      <c r="I10" s="125"/>
      <c r="J10" s="125"/>
    </row>
    <row r="11" spans="1:10" x14ac:dyDescent="0.25">
      <c r="A11" s="123">
        <v>5</v>
      </c>
      <c r="B11" s="123" t="s">
        <v>2907</v>
      </c>
      <c r="C11" s="125" t="s">
        <v>2908</v>
      </c>
      <c r="D11" s="125"/>
      <c r="E11" s="125"/>
      <c r="F11" s="125"/>
      <c r="G11" s="125"/>
      <c r="H11" s="125"/>
      <c r="I11" s="125"/>
      <c r="J11" s="125"/>
    </row>
    <row r="12" spans="1:10" x14ac:dyDescent="0.25">
      <c r="A12" s="123">
        <v>6</v>
      </c>
      <c r="B12" s="123" t="s">
        <v>2909</v>
      </c>
      <c r="C12" s="125" t="s">
        <v>2902</v>
      </c>
      <c r="D12" s="125" t="s">
        <v>2775</v>
      </c>
      <c r="E12" s="125"/>
      <c r="F12" s="125"/>
      <c r="G12" s="125"/>
      <c r="H12" s="125"/>
      <c r="I12" s="125"/>
      <c r="J12" s="125"/>
    </row>
    <row r="13" spans="1:10" x14ac:dyDescent="0.25">
      <c r="A13" s="123">
        <v>7</v>
      </c>
      <c r="B13" s="123" t="s">
        <v>2910</v>
      </c>
      <c r="C13" s="125" t="s">
        <v>2904</v>
      </c>
      <c r="D13" s="125"/>
      <c r="E13" s="125"/>
      <c r="F13" s="125"/>
      <c r="G13" s="125"/>
      <c r="H13" s="125"/>
      <c r="I13" s="125"/>
      <c r="J13" s="125"/>
    </row>
    <row r="14" spans="1:10" x14ac:dyDescent="0.25">
      <c r="A14" s="123">
        <v>8</v>
      </c>
      <c r="B14" s="123" t="s">
        <v>2911</v>
      </c>
      <c r="C14" s="125" t="s">
        <v>2902</v>
      </c>
      <c r="D14" s="125" t="s">
        <v>2904</v>
      </c>
      <c r="E14" s="125"/>
      <c r="F14" s="125"/>
      <c r="G14" s="125"/>
      <c r="H14" s="125"/>
      <c r="I14" s="125"/>
      <c r="J14" s="125"/>
    </row>
    <row r="15" spans="1:10" x14ac:dyDescent="0.25">
      <c r="A15" s="123">
        <v>9</v>
      </c>
      <c r="B15" s="123" t="s">
        <v>2912</v>
      </c>
      <c r="C15" s="125" t="s">
        <v>2899</v>
      </c>
      <c r="D15" s="125" t="s">
        <v>2900</v>
      </c>
      <c r="E15" s="125" t="s">
        <v>2775</v>
      </c>
      <c r="F15" s="125" t="s">
        <v>2779</v>
      </c>
      <c r="G15" s="125"/>
      <c r="H15" s="125"/>
      <c r="I15" s="125"/>
      <c r="J15" s="125"/>
    </row>
    <row r="16" spans="1:10" x14ac:dyDescent="0.25">
      <c r="A16" s="123">
        <v>10</v>
      </c>
      <c r="B16" s="123" t="s">
        <v>2913</v>
      </c>
      <c r="C16" s="125" t="s">
        <v>2900</v>
      </c>
      <c r="D16" s="125" t="s">
        <v>2779</v>
      </c>
      <c r="E16" s="125"/>
      <c r="F16" s="125"/>
      <c r="G16" s="125"/>
      <c r="H16" s="125"/>
      <c r="I16" s="125"/>
      <c r="J16" s="125"/>
    </row>
    <row r="17" spans="1:10" x14ac:dyDescent="0.25">
      <c r="A17" s="123"/>
      <c r="B17" s="123"/>
      <c r="C17" s="125"/>
      <c r="D17" s="125"/>
      <c r="E17" s="125"/>
      <c r="F17" s="125"/>
      <c r="G17" s="125"/>
      <c r="H17" s="125"/>
      <c r="I17" s="125"/>
      <c r="J17" s="125"/>
    </row>
    <row r="18" spans="1:10" x14ac:dyDescent="0.25">
      <c r="A18" s="123"/>
      <c r="B18" s="123"/>
      <c r="C18" s="125"/>
      <c r="D18" s="125"/>
      <c r="E18" s="125"/>
      <c r="F18" s="125"/>
      <c r="G18" s="125"/>
      <c r="H18" s="125"/>
      <c r="I18" s="125"/>
      <c r="J18" s="125"/>
    </row>
    <row r="19" spans="1:10" x14ac:dyDescent="0.25">
      <c r="A19" s="123"/>
      <c r="B19" s="123"/>
      <c r="C19" s="125"/>
      <c r="D19" s="125"/>
      <c r="E19" s="125"/>
      <c r="F19" s="125"/>
      <c r="G19" s="125"/>
      <c r="H19" s="125"/>
      <c r="I19" s="125"/>
      <c r="J19" s="125"/>
    </row>
    <row r="20" spans="1:10" x14ac:dyDescent="0.25">
      <c r="A20" s="123"/>
      <c r="B20" s="123"/>
      <c r="C20" s="125"/>
      <c r="D20" s="125"/>
      <c r="E20" s="125"/>
      <c r="F20" s="125"/>
      <c r="G20" s="125"/>
      <c r="H20" s="125"/>
      <c r="I20" s="125"/>
      <c r="J20" s="125"/>
    </row>
    <row r="21" spans="1:10" x14ac:dyDescent="0.25">
      <c r="A21" s="123"/>
      <c r="B21" s="123"/>
      <c r="C21" s="125"/>
      <c r="D21" s="125"/>
      <c r="E21" s="125"/>
      <c r="F21" s="125"/>
      <c r="G21" s="125"/>
      <c r="H21" s="125"/>
      <c r="I21" s="125"/>
      <c r="J21" s="125"/>
    </row>
    <row r="22" spans="1:10" x14ac:dyDescent="0.25">
      <c r="A22" s="123"/>
      <c r="B22" s="123"/>
      <c r="C22" s="125"/>
      <c r="D22" s="125"/>
      <c r="E22" s="125"/>
      <c r="F22" s="125"/>
      <c r="G22" s="125"/>
      <c r="H22" s="125"/>
      <c r="I22" s="125"/>
      <c r="J22" s="125"/>
    </row>
    <row r="23" spans="1:10" x14ac:dyDescent="0.25">
      <c r="A23" s="123"/>
      <c r="B23" s="123"/>
      <c r="C23" s="125"/>
      <c r="D23" s="125"/>
      <c r="E23" s="125"/>
      <c r="F23" s="125"/>
      <c r="G23" s="125"/>
      <c r="H23" s="125"/>
      <c r="I23" s="125"/>
      <c r="J23" s="125"/>
    </row>
    <row r="24" spans="1:10" x14ac:dyDescent="0.25">
      <c r="A24" s="123"/>
      <c r="B24" s="123"/>
      <c r="C24" s="125"/>
      <c r="D24" s="125"/>
      <c r="E24" s="125"/>
      <c r="F24" s="125"/>
      <c r="G24" s="125"/>
      <c r="H24" s="125"/>
      <c r="I24" s="125"/>
      <c r="J24" s="125"/>
    </row>
    <row r="25" spans="1:10" x14ac:dyDescent="0.25">
      <c r="A25" s="123"/>
      <c r="B25" s="123"/>
      <c r="C25" s="125"/>
      <c r="D25" s="125"/>
      <c r="E25" s="125"/>
      <c r="F25" s="125"/>
      <c r="G25" s="125"/>
      <c r="H25" s="125"/>
      <c r="I25" s="125"/>
      <c r="J25" s="125"/>
    </row>
    <row r="26" spans="1:10" x14ac:dyDescent="0.25">
      <c r="A26" s="123"/>
      <c r="B26" s="123"/>
      <c r="C26" s="125"/>
      <c r="D26" s="125"/>
      <c r="E26" s="125"/>
      <c r="F26" s="125"/>
      <c r="G26" s="125"/>
      <c r="H26" s="125"/>
      <c r="I26" s="125"/>
      <c r="J26" s="125"/>
    </row>
    <row r="27" spans="1:10" x14ac:dyDescent="0.25">
      <c r="A27" s="123"/>
      <c r="B27" s="123"/>
      <c r="C27" s="125"/>
      <c r="D27" s="125"/>
      <c r="E27" s="125"/>
      <c r="F27" s="125"/>
      <c r="G27" s="125"/>
      <c r="H27" s="125"/>
      <c r="I27" s="125"/>
      <c r="J27" s="125"/>
    </row>
    <row r="28" spans="1:10" x14ac:dyDescent="0.25">
      <c r="A28" s="123"/>
      <c r="B28" s="123"/>
      <c r="C28" s="125"/>
      <c r="D28" s="125"/>
      <c r="E28" s="125"/>
      <c r="F28" s="125"/>
      <c r="G28" s="125"/>
      <c r="H28" s="125"/>
      <c r="I28" s="125"/>
      <c r="J28" s="125"/>
    </row>
    <row r="29" spans="1:10" x14ac:dyDescent="0.25">
      <c r="A29" s="123"/>
      <c r="B29" s="123"/>
      <c r="C29" s="125"/>
      <c r="D29" s="125"/>
      <c r="E29" s="125"/>
      <c r="F29" s="125"/>
      <c r="G29" s="125"/>
      <c r="H29" s="125"/>
      <c r="I29" s="125"/>
      <c r="J29" s="125"/>
    </row>
    <row r="30" spans="1:10" x14ac:dyDescent="0.25">
      <c r="A30" s="123"/>
      <c r="B30" s="123"/>
      <c r="C30" s="125"/>
      <c r="D30" s="125"/>
      <c r="E30" s="125"/>
      <c r="F30" s="125"/>
      <c r="G30" s="125"/>
      <c r="H30" s="125"/>
      <c r="I30" s="125"/>
      <c r="J30" s="125"/>
    </row>
    <row r="31" spans="1:10" x14ac:dyDescent="0.25">
      <c r="A31" s="123"/>
      <c r="B31" s="123"/>
      <c r="C31" s="125"/>
      <c r="D31" s="125"/>
      <c r="E31" s="125"/>
      <c r="F31" s="125"/>
      <c r="G31" s="125"/>
      <c r="H31" s="125"/>
      <c r="I31" s="125"/>
      <c r="J31" s="125"/>
    </row>
    <row r="32" spans="1:10" x14ac:dyDescent="0.25">
      <c r="A32" s="123"/>
      <c r="B32" s="123"/>
      <c r="C32" s="125"/>
      <c r="D32" s="125"/>
      <c r="E32" s="125"/>
      <c r="F32" s="125"/>
      <c r="G32" s="125"/>
      <c r="H32" s="125"/>
      <c r="I32" s="125"/>
      <c r="J32" s="125"/>
    </row>
    <row r="33" spans="1:10" x14ac:dyDescent="0.25">
      <c r="A33" s="123"/>
      <c r="B33" s="123"/>
      <c r="C33" s="125"/>
      <c r="D33" s="125"/>
      <c r="E33" s="125"/>
      <c r="F33" s="125"/>
      <c r="G33" s="125"/>
      <c r="H33" s="125"/>
      <c r="I33" s="125"/>
      <c r="J33" s="125"/>
    </row>
    <row r="34" spans="1:10" x14ac:dyDescent="0.25">
      <c r="A34" s="123"/>
      <c r="B34" s="123"/>
      <c r="C34" s="125"/>
      <c r="D34" s="125"/>
      <c r="E34" s="125"/>
      <c r="F34" s="125"/>
      <c r="G34" s="125"/>
      <c r="H34" s="125"/>
      <c r="I34" s="125"/>
      <c r="J34" s="125"/>
    </row>
    <row r="35" spans="1:10" x14ac:dyDescent="0.25">
      <c r="A35" s="123"/>
      <c r="B35" s="123"/>
      <c r="C35" s="125"/>
      <c r="D35" s="125"/>
      <c r="E35" s="125"/>
      <c r="F35" s="125"/>
      <c r="G35" s="125"/>
      <c r="H35" s="125"/>
      <c r="I35" s="125"/>
      <c r="J35" s="125"/>
    </row>
    <row r="36" spans="1:10" x14ac:dyDescent="0.25">
      <c r="A36" s="123"/>
      <c r="B36" s="123"/>
      <c r="C36" s="125"/>
      <c r="D36" s="125"/>
      <c r="E36" s="125"/>
      <c r="F36" s="125"/>
      <c r="G36" s="125"/>
      <c r="H36" s="125"/>
      <c r="I36" s="125"/>
      <c r="J36" s="125"/>
    </row>
    <row r="37" spans="1:10" x14ac:dyDescent="0.25">
      <c r="A37" s="123"/>
      <c r="B37" s="123"/>
      <c r="C37" s="125"/>
      <c r="D37" s="125"/>
      <c r="E37" s="125"/>
      <c r="F37" s="125"/>
      <c r="G37" s="125"/>
      <c r="H37" s="125"/>
      <c r="I37" s="125"/>
      <c r="J37" s="125"/>
    </row>
    <row r="38" spans="1:10" x14ac:dyDescent="0.25">
      <c r="A38" s="123"/>
      <c r="B38" s="123"/>
      <c r="C38" s="125"/>
      <c r="D38" s="125"/>
      <c r="E38" s="125"/>
      <c r="F38" s="125"/>
      <c r="G38" s="125"/>
      <c r="H38" s="125"/>
      <c r="I38" s="125"/>
      <c r="J38" s="125"/>
    </row>
    <row r="39" spans="1:10" x14ac:dyDescent="0.25">
      <c r="A39" s="123"/>
      <c r="B39" s="123"/>
      <c r="C39" s="125"/>
      <c r="D39" s="125"/>
      <c r="E39" s="125"/>
      <c r="F39" s="125"/>
      <c r="G39" s="125"/>
      <c r="H39" s="125"/>
      <c r="I39" s="125"/>
      <c r="J39" s="125"/>
    </row>
    <row r="40" spans="1:10" x14ac:dyDescent="0.25">
      <c r="A40" s="123"/>
      <c r="B40" s="123"/>
      <c r="C40" s="125"/>
      <c r="D40" s="125"/>
      <c r="E40" s="125"/>
      <c r="F40" s="125"/>
      <c r="G40" s="125"/>
      <c r="H40" s="125"/>
      <c r="I40" s="125"/>
      <c r="J40" s="125"/>
    </row>
    <row r="41" spans="1:10" x14ac:dyDescent="0.25">
      <c r="A41" s="123"/>
      <c r="B41" s="123"/>
      <c r="C41" s="125"/>
      <c r="D41" s="125"/>
      <c r="E41" s="125"/>
      <c r="F41" s="125"/>
      <c r="G41" s="125"/>
      <c r="H41" s="125"/>
      <c r="I41" s="125"/>
      <c r="J41" s="125"/>
    </row>
    <row r="42" spans="1:10" x14ac:dyDescent="0.25">
      <c r="A42" s="123"/>
      <c r="B42" s="123"/>
      <c r="C42" s="125"/>
      <c r="D42" s="125"/>
      <c r="E42" s="125"/>
      <c r="F42" s="125"/>
      <c r="G42" s="125"/>
      <c r="H42" s="125"/>
      <c r="I42" s="125"/>
      <c r="J42" s="125"/>
    </row>
    <row r="43" spans="1:10" x14ac:dyDescent="0.25">
      <c r="A43" s="123"/>
      <c r="B43" s="123"/>
      <c r="C43" s="125"/>
      <c r="D43" s="125"/>
      <c r="E43" s="125"/>
      <c r="F43" s="125"/>
      <c r="G43" s="125"/>
      <c r="H43" s="125"/>
      <c r="I43" s="125"/>
      <c r="J43" s="125"/>
    </row>
    <row r="44" spans="1:10" x14ac:dyDescent="0.25">
      <c r="A44" s="123"/>
      <c r="B44" s="123"/>
      <c r="C44" s="125"/>
      <c r="D44" s="125"/>
      <c r="E44" s="125"/>
      <c r="F44" s="125"/>
      <c r="G44" s="125"/>
      <c r="H44" s="125"/>
      <c r="I44" s="125"/>
      <c r="J44" s="125"/>
    </row>
    <row r="45" spans="1:10" x14ac:dyDescent="0.25">
      <c r="A45" s="123"/>
      <c r="B45" s="123"/>
      <c r="C45" s="125"/>
      <c r="D45" s="125"/>
      <c r="E45" s="125"/>
      <c r="F45" s="125"/>
      <c r="G45" s="125"/>
      <c r="H45" s="125"/>
      <c r="I45" s="125"/>
      <c r="J45" s="125"/>
    </row>
    <row r="46" spans="1:10" x14ac:dyDescent="0.25">
      <c r="A46" s="123"/>
      <c r="B46" s="123"/>
      <c r="C46" s="125"/>
      <c r="D46" s="125"/>
      <c r="E46" s="125"/>
      <c r="F46" s="125"/>
      <c r="G46" s="125"/>
      <c r="H46" s="125"/>
      <c r="I46" s="125"/>
      <c r="J46" s="125"/>
    </row>
    <row r="47" spans="1:10" x14ac:dyDescent="0.25">
      <c r="A47" s="123"/>
      <c r="B47" s="123"/>
      <c r="C47" s="125"/>
      <c r="D47" s="125"/>
      <c r="E47" s="125"/>
      <c r="F47" s="125"/>
      <c r="G47" s="125"/>
      <c r="H47" s="125"/>
      <c r="I47" s="125"/>
      <c r="J47" s="125"/>
    </row>
    <row r="48" spans="1:10" x14ac:dyDescent="0.25">
      <c r="A48" s="123"/>
      <c r="B48" s="123"/>
      <c r="C48" s="125"/>
      <c r="D48" s="125"/>
      <c r="E48" s="125"/>
      <c r="F48" s="125"/>
      <c r="G48" s="125"/>
      <c r="H48" s="125"/>
      <c r="I48" s="125"/>
      <c r="J48" s="125"/>
    </row>
    <row r="49" spans="1:10" x14ac:dyDescent="0.25">
      <c r="A49" s="123"/>
      <c r="B49" s="123"/>
      <c r="C49" s="125"/>
      <c r="D49" s="125"/>
      <c r="E49" s="125"/>
      <c r="F49" s="125"/>
      <c r="G49" s="125"/>
      <c r="H49" s="125"/>
      <c r="I49" s="125"/>
      <c r="J49" s="125"/>
    </row>
    <row r="50" spans="1:10" x14ac:dyDescent="0.25">
      <c r="A50" s="123"/>
      <c r="B50" s="123"/>
      <c r="C50" s="125"/>
      <c r="D50" s="125"/>
      <c r="E50" s="125"/>
      <c r="F50" s="125"/>
      <c r="G50" s="125"/>
      <c r="H50" s="125"/>
      <c r="I50" s="125"/>
      <c r="J50" s="125"/>
    </row>
  </sheetData>
  <conditionalFormatting sqref="C6:J6 C17:J50 I7:J16">
    <cfRule type="notContainsBlanks" dxfId="11" priority="2">
      <formula>LEN(TRIM(C6))&gt;0</formula>
    </cfRule>
  </conditionalFormatting>
  <conditionalFormatting sqref="C7:H16">
    <cfRule type="notContainsBlanks" dxfId="10" priority="1">
      <formula>LEN(TRIM(C7))&gt;0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500-000000000000}">
          <x14:formula1>
            <xm:f>Task!$B$13:$B$85</xm:f>
          </x14:formula1>
          <xm:sqref>I6:J50 C6:H6 C17:H50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8"/>
  <dimension ref="A3:K51"/>
  <sheetViews>
    <sheetView topLeftCell="A39" workbookViewId="0">
      <selection activeCell="D5" sqref="D5"/>
    </sheetView>
  </sheetViews>
  <sheetFormatPr defaultRowHeight="15" x14ac:dyDescent="0.25"/>
  <cols>
    <col min="2" max="2" width="51.28515625" bestFit="1" customWidth="1"/>
    <col min="3" max="3" width="19.7109375" bestFit="1" customWidth="1"/>
    <col min="4" max="4" width="28.140625" bestFit="1" customWidth="1"/>
    <col min="5" max="6" width="19.140625" customWidth="1"/>
    <col min="7" max="7" width="23.140625" bestFit="1" customWidth="1"/>
    <col min="9" max="9" width="14.5703125" customWidth="1"/>
    <col min="11" max="11" width="21.7109375" customWidth="1"/>
  </cols>
  <sheetData>
    <row r="3" spans="1:11" x14ac:dyDescent="0.25">
      <c r="B3" s="106" t="s">
        <v>2073</v>
      </c>
      <c r="C3" cm="1">
        <f t="array" ref="C3">SUMPRODUCT(1/COUNTIF(B10:B100,B10:B100&amp;""))-1</f>
        <v>17.999999999999975</v>
      </c>
    </row>
    <row r="8" spans="1:11" ht="15.75" thickBot="1" x14ac:dyDescent="0.3"/>
    <row r="9" spans="1:11" x14ac:dyDescent="0.25">
      <c r="A9" s="91" t="s">
        <v>699</v>
      </c>
      <c r="B9" s="87" t="s">
        <v>2057</v>
      </c>
      <c r="C9" s="87" t="s">
        <v>2022</v>
      </c>
      <c r="D9" s="92" t="s">
        <v>2055</v>
      </c>
      <c r="E9" s="92" t="s">
        <v>2075</v>
      </c>
      <c r="F9" s="92" t="s">
        <v>2074</v>
      </c>
      <c r="G9" s="92" t="s">
        <v>2071</v>
      </c>
      <c r="H9" s="92" t="s">
        <v>2072</v>
      </c>
      <c r="I9" s="92" t="s">
        <v>2080</v>
      </c>
      <c r="K9" s="92" t="s">
        <v>2076</v>
      </c>
    </row>
    <row r="10" spans="1:11" x14ac:dyDescent="0.25">
      <c r="A10" s="78">
        <v>1</v>
      </c>
      <c r="B10" s="79" t="s">
        <v>2914</v>
      </c>
      <c r="C10" s="79" t="s">
        <v>2082</v>
      </c>
      <c r="D10" s="90" t="s">
        <v>2040</v>
      </c>
      <c r="E10" s="79">
        <v>3</v>
      </c>
      <c r="F10" s="79" t="s">
        <v>2915</v>
      </c>
      <c r="G10" s="79" t="s">
        <v>2916</v>
      </c>
      <c r="H10" s="79" t="s">
        <v>2917</v>
      </c>
      <c r="I10" s="79" t="s">
        <v>2918</v>
      </c>
      <c r="K10" s="166" t="s">
        <v>2966</v>
      </c>
    </row>
    <row r="11" spans="1:11" x14ac:dyDescent="0.25">
      <c r="A11" s="78"/>
      <c r="B11" s="79"/>
      <c r="C11" s="79" t="s">
        <v>2082</v>
      </c>
      <c r="D11" s="90" t="s">
        <v>2040</v>
      </c>
      <c r="E11" s="79"/>
      <c r="F11" s="79" t="s">
        <v>2919</v>
      </c>
      <c r="G11" s="79" t="s">
        <v>2920</v>
      </c>
      <c r="H11" s="79" t="s">
        <v>2917</v>
      </c>
      <c r="I11" s="79"/>
      <c r="K11" s="166" t="s">
        <v>2967</v>
      </c>
    </row>
    <row r="12" spans="1:11" x14ac:dyDescent="0.25">
      <c r="A12" s="78"/>
      <c r="B12" s="79"/>
      <c r="C12" s="79" t="s">
        <v>2082</v>
      </c>
      <c r="D12" s="90" t="s">
        <v>2040</v>
      </c>
      <c r="E12" s="79"/>
      <c r="F12" s="79" t="s">
        <v>2921</v>
      </c>
      <c r="G12" s="79" t="s">
        <v>2922</v>
      </c>
      <c r="H12" s="79" t="s">
        <v>2923</v>
      </c>
      <c r="I12" s="79"/>
      <c r="K12" s="166" t="s">
        <v>2968</v>
      </c>
    </row>
    <row r="13" spans="1:11" x14ac:dyDescent="0.25">
      <c r="A13" s="78">
        <v>2</v>
      </c>
      <c r="B13" s="79" t="s">
        <v>2924</v>
      </c>
      <c r="C13" s="79" t="s">
        <v>2082</v>
      </c>
      <c r="D13" s="90" t="s">
        <v>2040</v>
      </c>
      <c r="E13" s="79">
        <v>3</v>
      </c>
      <c r="F13" s="79" t="s">
        <v>2925</v>
      </c>
      <c r="G13" s="79" t="s">
        <v>2926</v>
      </c>
      <c r="H13" s="79" t="s">
        <v>2917</v>
      </c>
      <c r="I13" s="79" t="s">
        <v>2918</v>
      </c>
      <c r="K13" s="166" t="s">
        <v>2969</v>
      </c>
    </row>
    <row r="14" spans="1:11" x14ac:dyDescent="0.25">
      <c r="A14" s="78"/>
      <c r="B14" s="79"/>
      <c r="C14" s="79" t="s">
        <v>2082</v>
      </c>
      <c r="D14" s="90" t="s">
        <v>2040</v>
      </c>
      <c r="E14" s="79"/>
      <c r="F14" s="79" t="s">
        <v>2927</v>
      </c>
      <c r="G14" s="79" t="s">
        <v>2920</v>
      </c>
      <c r="H14" s="79" t="s">
        <v>2923</v>
      </c>
      <c r="I14" s="79"/>
      <c r="K14" s="74"/>
    </row>
    <row r="15" spans="1:11" x14ac:dyDescent="0.25">
      <c r="A15" s="78"/>
      <c r="B15" s="79"/>
      <c r="C15" s="79" t="s">
        <v>2082</v>
      </c>
      <c r="D15" s="90" t="s">
        <v>2040</v>
      </c>
      <c r="E15" s="79"/>
      <c r="F15" s="79" t="s">
        <v>2921</v>
      </c>
      <c r="G15" s="79" t="s">
        <v>2922</v>
      </c>
      <c r="H15" s="79" t="s">
        <v>2923</v>
      </c>
      <c r="I15" s="79"/>
      <c r="K15" s="74"/>
    </row>
    <row r="16" spans="1:11" x14ac:dyDescent="0.25">
      <c r="A16" s="78">
        <v>3</v>
      </c>
      <c r="B16" s="79" t="s">
        <v>2928</v>
      </c>
      <c r="C16" s="79" t="s">
        <v>2082</v>
      </c>
      <c r="D16" s="90" t="s">
        <v>2040</v>
      </c>
      <c r="E16" s="79">
        <v>3</v>
      </c>
      <c r="F16" s="79" t="s">
        <v>2925</v>
      </c>
      <c r="G16" s="79" t="s">
        <v>2926</v>
      </c>
      <c r="H16" s="79" t="s">
        <v>2917</v>
      </c>
      <c r="I16" s="79" t="s">
        <v>2918</v>
      </c>
      <c r="K16" s="74"/>
    </row>
    <row r="17" spans="1:11" x14ac:dyDescent="0.25">
      <c r="A17" s="78"/>
      <c r="B17" s="79"/>
      <c r="C17" s="79" t="s">
        <v>2082</v>
      </c>
      <c r="D17" s="90" t="s">
        <v>2040</v>
      </c>
      <c r="E17" s="79"/>
      <c r="F17" s="79" t="s">
        <v>2929</v>
      </c>
      <c r="G17" s="79" t="s">
        <v>2920</v>
      </c>
      <c r="H17" s="79" t="s">
        <v>2923</v>
      </c>
      <c r="I17" s="79"/>
      <c r="K17" s="74"/>
    </row>
    <row r="18" spans="1:11" x14ac:dyDescent="0.25">
      <c r="A18" s="78"/>
      <c r="B18" s="79"/>
      <c r="C18" s="79" t="s">
        <v>2082</v>
      </c>
      <c r="D18" s="90" t="s">
        <v>2040</v>
      </c>
      <c r="E18" s="79"/>
      <c r="F18" s="79" t="s">
        <v>2921</v>
      </c>
      <c r="G18" s="79" t="s">
        <v>2922</v>
      </c>
      <c r="H18" s="79" t="s">
        <v>2923</v>
      </c>
      <c r="I18" s="79"/>
      <c r="K18" s="74"/>
    </row>
    <row r="19" spans="1:11" x14ac:dyDescent="0.25">
      <c r="A19" s="78">
        <v>4</v>
      </c>
      <c r="B19" s="79" t="s">
        <v>2930</v>
      </c>
      <c r="C19" s="79" t="s">
        <v>2082</v>
      </c>
      <c r="D19" s="90" t="s">
        <v>2040</v>
      </c>
      <c r="E19" s="79">
        <v>3</v>
      </c>
      <c r="F19" s="79" t="s">
        <v>2925</v>
      </c>
      <c r="G19" s="79" t="s">
        <v>2926</v>
      </c>
      <c r="H19" s="79" t="s">
        <v>2917</v>
      </c>
      <c r="I19" s="79" t="s">
        <v>2918</v>
      </c>
      <c r="K19" s="74"/>
    </row>
    <row r="20" spans="1:11" x14ac:dyDescent="0.25">
      <c r="A20" s="78"/>
      <c r="B20" s="79"/>
      <c r="C20" s="79" t="s">
        <v>2082</v>
      </c>
      <c r="D20" s="90" t="s">
        <v>2040</v>
      </c>
      <c r="E20" s="79"/>
      <c r="F20" s="79" t="s">
        <v>2931</v>
      </c>
      <c r="G20" s="79" t="s">
        <v>2920</v>
      </c>
      <c r="H20" s="79" t="s">
        <v>2923</v>
      </c>
      <c r="I20" s="79"/>
      <c r="K20" s="74"/>
    </row>
    <row r="21" spans="1:11" x14ac:dyDescent="0.25">
      <c r="A21" s="78"/>
      <c r="B21" s="79"/>
      <c r="C21" s="79" t="s">
        <v>2082</v>
      </c>
      <c r="D21" s="90" t="s">
        <v>2040</v>
      </c>
      <c r="E21" s="79"/>
      <c r="F21" s="79" t="s">
        <v>2921</v>
      </c>
      <c r="G21" s="79" t="s">
        <v>2922</v>
      </c>
      <c r="H21" s="79" t="s">
        <v>2923</v>
      </c>
      <c r="I21" s="79"/>
      <c r="K21" s="74"/>
    </row>
    <row r="22" spans="1:11" x14ac:dyDescent="0.25">
      <c r="A22" s="78">
        <v>5</v>
      </c>
      <c r="B22" s="79" t="s">
        <v>2932</v>
      </c>
      <c r="C22" s="79" t="s">
        <v>2082</v>
      </c>
      <c r="D22" s="90" t="s">
        <v>2040</v>
      </c>
      <c r="E22" s="79">
        <v>3</v>
      </c>
      <c r="F22" s="79" t="s">
        <v>2933</v>
      </c>
      <c r="G22" s="79" t="s">
        <v>2934</v>
      </c>
      <c r="H22" s="79" t="s">
        <v>2917</v>
      </c>
      <c r="I22" s="79" t="s">
        <v>2918</v>
      </c>
      <c r="K22" s="74"/>
    </row>
    <row r="23" spans="1:11" x14ac:dyDescent="0.25">
      <c r="A23" s="78"/>
      <c r="B23" s="79"/>
      <c r="C23" s="79" t="s">
        <v>2082</v>
      </c>
      <c r="D23" s="90" t="s">
        <v>2040</v>
      </c>
      <c r="E23" s="79"/>
      <c r="F23" s="79" t="s">
        <v>2935</v>
      </c>
      <c r="G23" s="79" t="s">
        <v>2936</v>
      </c>
      <c r="H23" s="79" t="s">
        <v>2923</v>
      </c>
      <c r="I23" s="79"/>
      <c r="K23" s="74"/>
    </row>
    <row r="24" spans="1:11" x14ac:dyDescent="0.25">
      <c r="A24" s="78"/>
      <c r="B24" s="79"/>
      <c r="C24" s="79" t="s">
        <v>2082</v>
      </c>
      <c r="D24" s="90" t="s">
        <v>2040</v>
      </c>
      <c r="E24" s="79"/>
      <c r="F24" s="79" t="s">
        <v>2921</v>
      </c>
      <c r="G24" s="79" t="s">
        <v>2922</v>
      </c>
      <c r="H24" s="79" t="s">
        <v>2923</v>
      </c>
      <c r="I24" s="79"/>
      <c r="K24" s="74"/>
    </row>
    <row r="25" spans="1:11" x14ac:dyDescent="0.25">
      <c r="A25" s="78">
        <v>6</v>
      </c>
      <c r="B25" s="79" t="s">
        <v>2937</v>
      </c>
      <c r="C25" s="79" t="s">
        <v>2082</v>
      </c>
      <c r="D25" s="90" t="s">
        <v>2040</v>
      </c>
      <c r="E25" s="79">
        <v>3</v>
      </c>
      <c r="F25" s="79" t="s">
        <v>2933</v>
      </c>
      <c r="G25" s="79" t="s">
        <v>2934</v>
      </c>
      <c r="H25" s="79" t="s">
        <v>2917</v>
      </c>
      <c r="I25" s="79" t="s">
        <v>2918</v>
      </c>
      <c r="K25" s="74"/>
    </row>
    <row r="26" spans="1:11" x14ac:dyDescent="0.25">
      <c r="A26" s="78"/>
      <c r="B26" s="79"/>
      <c r="C26" s="79" t="s">
        <v>2082</v>
      </c>
      <c r="D26" s="90" t="s">
        <v>2040</v>
      </c>
      <c r="E26" s="79"/>
      <c r="F26" s="79" t="s">
        <v>2938</v>
      </c>
      <c r="G26" s="79" t="s">
        <v>2939</v>
      </c>
      <c r="H26" s="79" t="s">
        <v>2923</v>
      </c>
      <c r="I26" s="79"/>
      <c r="K26" s="74"/>
    </row>
    <row r="27" spans="1:11" x14ac:dyDescent="0.25">
      <c r="A27" s="78"/>
      <c r="B27" s="79"/>
      <c r="C27" s="79" t="s">
        <v>2082</v>
      </c>
      <c r="D27" s="90" t="s">
        <v>2040</v>
      </c>
      <c r="E27" s="79"/>
      <c r="F27" s="79" t="s">
        <v>2921</v>
      </c>
      <c r="G27" s="79" t="s">
        <v>2922</v>
      </c>
      <c r="H27" s="79" t="s">
        <v>2923</v>
      </c>
      <c r="I27" s="79"/>
    </row>
    <row r="28" spans="1:11" x14ac:dyDescent="0.25">
      <c r="A28" s="78">
        <v>7</v>
      </c>
      <c r="B28" s="79" t="s">
        <v>2940</v>
      </c>
      <c r="C28" s="79" t="s">
        <v>2082</v>
      </c>
      <c r="D28" s="90" t="s">
        <v>2040</v>
      </c>
      <c r="E28" s="79">
        <v>3</v>
      </c>
      <c r="F28" s="79" t="s">
        <v>2933</v>
      </c>
      <c r="G28" s="79" t="s">
        <v>2934</v>
      </c>
      <c r="H28" s="79" t="s">
        <v>2917</v>
      </c>
      <c r="I28" s="79" t="s">
        <v>2918</v>
      </c>
    </row>
    <row r="29" spans="1:11" x14ac:dyDescent="0.25">
      <c r="A29" s="78"/>
      <c r="B29" s="79"/>
      <c r="C29" s="79" t="s">
        <v>2082</v>
      </c>
      <c r="D29" s="90" t="s">
        <v>2040</v>
      </c>
      <c r="E29" s="79"/>
      <c r="F29" s="79" t="s">
        <v>2941</v>
      </c>
      <c r="G29" s="79" t="s">
        <v>2939</v>
      </c>
      <c r="H29" s="79" t="s">
        <v>2923</v>
      </c>
      <c r="I29" s="79"/>
    </row>
    <row r="30" spans="1:11" x14ac:dyDescent="0.25">
      <c r="A30" s="78"/>
      <c r="B30" s="79"/>
      <c r="C30" s="79" t="s">
        <v>2082</v>
      </c>
      <c r="D30" s="90" t="s">
        <v>2040</v>
      </c>
      <c r="E30" s="79"/>
      <c r="F30" s="79" t="s">
        <v>2921</v>
      </c>
      <c r="G30" s="79" t="s">
        <v>2922</v>
      </c>
      <c r="H30" s="79" t="s">
        <v>2923</v>
      </c>
      <c r="I30" s="79"/>
    </row>
    <row r="31" spans="1:11" x14ac:dyDescent="0.25">
      <c r="A31" s="78">
        <v>8</v>
      </c>
      <c r="B31" s="79" t="s">
        <v>2942</v>
      </c>
      <c r="C31" s="79" t="s">
        <v>2082</v>
      </c>
      <c r="D31" s="90" t="s">
        <v>2040</v>
      </c>
      <c r="E31" s="79">
        <v>3</v>
      </c>
      <c r="F31" s="79" t="s">
        <v>2943</v>
      </c>
      <c r="G31" s="79" t="s">
        <v>2944</v>
      </c>
      <c r="H31" s="79" t="s">
        <v>2917</v>
      </c>
      <c r="I31" s="79" t="s">
        <v>2918</v>
      </c>
    </row>
    <row r="32" spans="1:11" x14ac:dyDescent="0.25">
      <c r="A32" s="78"/>
      <c r="B32" s="79"/>
      <c r="C32" s="79" t="s">
        <v>2082</v>
      </c>
      <c r="D32" s="90" t="s">
        <v>2040</v>
      </c>
      <c r="E32" s="79"/>
      <c r="F32" s="79" t="s">
        <v>2945</v>
      </c>
      <c r="G32" s="79" t="s">
        <v>2939</v>
      </c>
      <c r="H32" s="79" t="s">
        <v>2917</v>
      </c>
      <c r="I32" s="79"/>
    </row>
    <row r="33" spans="1:9" x14ac:dyDescent="0.25">
      <c r="A33" s="78"/>
      <c r="B33" s="79"/>
      <c r="C33" s="79" t="s">
        <v>2082</v>
      </c>
      <c r="D33" s="90" t="s">
        <v>2040</v>
      </c>
      <c r="E33" s="79"/>
      <c r="F33" s="79" t="s">
        <v>2921</v>
      </c>
      <c r="G33" s="79" t="s">
        <v>2922</v>
      </c>
      <c r="H33" s="79" t="s">
        <v>2923</v>
      </c>
      <c r="I33" s="79"/>
    </row>
    <row r="34" spans="1:9" x14ac:dyDescent="0.25">
      <c r="A34" s="78">
        <v>9</v>
      </c>
      <c r="B34" s="79" t="s">
        <v>2946</v>
      </c>
      <c r="C34" s="79" t="s">
        <v>2082</v>
      </c>
      <c r="D34" s="90" t="s">
        <v>2040</v>
      </c>
      <c r="E34" s="79">
        <v>4</v>
      </c>
      <c r="F34" s="79" t="s">
        <v>2943</v>
      </c>
      <c r="G34" s="79" t="s">
        <v>2944</v>
      </c>
      <c r="H34" s="79" t="s">
        <v>2917</v>
      </c>
      <c r="I34" s="79" t="s">
        <v>2918</v>
      </c>
    </row>
    <row r="35" spans="1:9" x14ac:dyDescent="0.25">
      <c r="A35" s="78"/>
      <c r="B35" s="79"/>
      <c r="C35" s="79" t="s">
        <v>2082</v>
      </c>
      <c r="D35" s="90" t="s">
        <v>2040</v>
      </c>
      <c r="E35" s="79"/>
      <c r="F35" s="79" t="s">
        <v>2947</v>
      </c>
      <c r="G35" s="79" t="s">
        <v>2948</v>
      </c>
      <c r="H35" s="79" t="s">
        <v>2917</v>
      </c>
      <c r="I35" s="79"/>
    </row>
    <row r="36" spans="1:9" x14ac:dyDescent="0.25">
      <c r="A36" s="78"/>
      <c r="B36" s="79"/>
      <c r="C36" s="79" t="s">
        <v>2082</v>
      </c>
      <c r="D36" s="90" t="s">
        <v>2040</v>
      </c>
      <c r="E36" s="79"/>
      <c r="F36" s="79" t="s">
        <v>2945</v>
      </c>
      <c r="G36" s="79" t="s">
        <v>2939</v>
      </c>
      <c r="H36" s="79" t="s">
        <v>2917</v>
      </c>
      <c r="I36" s="79"/>
    </row>
    <row r="37" spans="1:9" x14ac:dyDescent="0.25">
      <c r="A37" s="78"/>
      <c r="B37" s="79"/>
      <c r="C37" s="79" t="s">
        <v>2082</v>
      </c>
      <c r="D37" s="90" t="s">
        <v>2040</v>
      </c>
      <c r="E37" s="79"/>
      <c r="F37" s="79" t="s">
        <v>2921</v>
      </c>
      <c r="G37" s="79" t="s">
        <v>2922</v>
      </c>
      <c r="H37" s="79" t="s">
        <v>2923</v>
      </c>
      <c r="I37" s="79"/>
    </row>
    <row r="38" spans="1:9" x14ac:dyDescent="0.25">
      <c r="A38" s="78">
        <v>10</v>
      </c>
      <c r="B38" s="79" t="s">
        <v>2949</v>
      </c>
      <c r="C38" s="79" t="s">
        <v>2082</v>
      </c>
      <c r="D38" s="90" t="s">
        <v>2040</v>
      </c>
      <c r="E38" s="79">
        <v>2</v>
      </c>
      <c r="F38" s="79" t="s">
        <v>2943</v>
      </c>
      <c r="G38" s="79" t="s">
        <v>2944</v>
      </c>
      <c r="H38" s="79" t="s">
        <v>2917</v>
      </c>
      <c r="I38" s="79" t="s">
        <v>2918</v>
      </c>
    </row>
    <row r="39" spans="1:9" x14ac:dyDescent="0.25">
      <c r="A39" s="78"/>
      <c r="B39" s="79"/>
      <c r="C39" s="79" t="s">
        <v>2082</v>
      </c>
      <c r="D39" s="90" t="s">
        <v>2040</v>
      </c>
      <c r="E39" s="79"/>
      <c r="F39" s="79" t="s">
        <v>2921</v>
      </c>
      <c r="G39" s="79" t="s">
        <v>2922</v>
      </c>
      <c r="H39" s="79" t="s">
        <v>2923</v>
      </c>
      <c r="I39" s="79"/>
    </row>
    <row r="40" spans="1:9" x14ac:dyDescent="0.25">
      <c r="A40" s="78">
        <v>11</v>
      </c>
      <c r="B40" s="79" t="s">
        <v>2950</v>
      </c>
      <c r="C40" s="79" t="s">
        <v>2082</v>
      </c>
      <c r="D40" s="90" t="s">
        <v>2040</v>
      </c>
      <c r="E40" s="79">
        <v>2</v>
      </c>
      <c r="F40" s="79" t="s">
        <v>2951</v>
      </c>
      <c r="G40" s="79" t="s">
        <v>2952</v>
      </c>
      <c r="H40" s="79" t="s">
        <v>2917</v>
      </c>
      <c r="I40" s="79" t="s">
        <v>2918</v>
      </c>
    </row>
    <row r="41" spans="1:9" x14ac:dyDescent="0.25">
      <c r="A41" s="78"/>
      <c r="B41" s="79"/>
      <c r="C41" s="79" t="s">
        <v>2082</v>
      </c>
      <c r="D41" s="90" t="s">
        <v>2040</v>
      </c>
      <c r="E41" s="79"/>
      <c r="F41" s="79" t="s">
        <v>2953</v>
      </c>
      <c r="G41" s="79" t="s">
        <v>2954</v>
      </c>
      <c r="H41" s="79" t="s">
        <v>2923</v>
      </c>
      <c r="I41" s="79"/>
    </row>
    <row r="42" spans="1:9" x14ac:dyDescent="0.25">
      <c r="A42" s="78">
        <v>12</v>
      </c>
      <c r="B42" s="79" t="s">
        <v>2955</v>
      </c>
      <c r="C42" s="79" t="s">
        <v>2082</v>
      </c>
      <c r="D42" s="90" t="s">
        <v>2040</v>
      </c>
      <c r="E42" s="79">
        <v>2</v>
      </c>
      <c r="F42" s="79" t="s">
        <v>2956</v>
      </c>
      <c r="G42" s="79" t="s">
        <v>2957</v>
      </c>
      <c r="H42" s="79" t="s">
        <v>2917</v>
      </c>
      <c r="I42" s="79" t="s">
        <v>2083</v>
      </c>
    </row>
    <row r="43" spans="1:9" x14ac:dyDescent="0.25">
      <c r="A43" s="78"/>
      <c r="B43" s="79"/>
      <c r="C43" s="79" t="s">
        <v>2082</v>
      </c>
      <c r="D43" s="90" t="s">
        <v>2040</v>
      </c>
      <c r="E43" s="79"/>
      <c r="F43" s="79" t="s">
        <v>2072</v>
      </c>
      <c r="G43" s="79" t="s">
        <v>2958</v>
      </c>
      <c r="H43" s="79" t="s">
        <v>2917</v>
      </c>
      <c r="I43" s="79"/>
    </row>
    <row r="44" spans="1:9" x14ac:dyDescent="0.25">
      <c r="A44" s="78">
        <v>13</v>
      </c>
      <c r="B44" s="79" t="s">
        <v>2959</v>
      </c>
      <c r="C44" s="79" t="s">
        <v>2082</v>
      </c>
      <c r="D44" s="90" t="s">
        <v>2040</v>
      </c>
      <c r="E44" s="79">
        <v>2</v>
      </c>
      <c r="F44" s="79" t="s">
        <v>2956</v>
      </c>
      <c r="G44" s="79" t="s">
        <v>2957</v>
      </c>
      <c r="H44" s="79" t="s">
        <v>2917</v>
      </c>
      <c r="I44" s="79" t="s">
        <v>2083</v>
      </c>
    </row>
    <row r="45" spans="1:9" x14ac:dyDescent="0.25">
      <c r="A45" s="78"/>
      <c r="B45" s="79"/>
      <c r="C45" s="79" t="s">
        <v>2082</v>
      </c>
      <c r="D45" s="90" t="s">
        <v>2040</v>
      </c>
      <c r="E45" s="79"/>
      <c r="F45" s="79" t="s">
        <v>2960</v>
      </c>
      <c r="G45" s="79" t="s">
        <v>2961</v>
      </c>
      <c r="H45" s="79" t="s">
        <v>2917</v>
      </c>
      <c r="I45" s="79"/>
    </row>
    <row r="46" spans="1:9" x14ac:dyDescent="0.25">
      <c r="A46" s="78">
        <v>14</v>
      </c>
      <c r="B46" s="79" t="s">
        <v>2962</v>
      </c>
      <c r="C46" s="79" t="s">
        <v>2082</v>
      </c>
      <c r="D46" s="90" t="s">
        <v>2040</v>
      </c>
      <c r="E46" s="79">
        <v>2</v>
      </c>
      <c r="F46" s="79" t="s">
        <v>2963</v>
      </c>
      <c r="G46" s="79" t="s">
        <v>2964</v>
      </c>
      <c r="H46" s="79" t="s">
        <v>2917</v>
      </c>
      <c r="I46" s="79" t="s">
        <v>2083</v>
      </c>
    </row>
    <row r="47" spans="1:9" x14ac:dyDescent="0.25">
      <c r="A47" s="78"/>
      <c r="B47" s="79"/>
      <c r="C47" s="79" t="s">
        <v>2082</v>
      </c>
      <c r="D47" s="90" t="s">
        <v>2040</v>
      </c>
      <c r="E47" s="79"/>
      <c r="F47" s="79" t="s">
        <v>2965</v>
      </c>
      <c r="G47" s="79" t="s">
        <v>2939</v>
      </c>
      <c r="H47" s="79" t="s">
        <v>2917</v>
      </c>
      <c r="I47" s="79"/>
    </row>
    <row r="48" spans="1:9" x14ac:dyDescent="0.25">
      <c r="A48" s="78">
        <v>15</v>
      </c>
      <c r="B48" s="79" t="s">
        <v>3317</v>
      </c>
      <c r="C48" s="79" t="s">
        <v>2082</v>
      </c>
      <c r="D48" s="90" t="s">
        <v>2040</v>
      </c>
      <c r="E48" s="79">
        <v>0</v>
      </c>
      <c r="F48" s="79"/>
      <c r="G48" s="79"/>
      <c r="H48" s="79"/>
      <c r="I48" s="79" t="s">
        <v>2083</v>
      </c>
    </row>
    <row r="49" spans="1:9" x14ac:dyDescent="0.25">
      <c r="A49" s="78">
        <v>16</v>
      </c>
      <c r="B49" s="79" t="s">
        <v>3318</v>
      </c>
      <c r="C49" s="79" t="s">
        <v>2082</v>
      </c>
      <c r="D49" s="90" t="s">
        <v>2040</v>
      </c>
      <c r="E49" s="79">
        <v>0</v>
      </c>
      <c r="F49" s="79"/>
      <c r="G49" s="79"/>
      <c r="H49" s="79"/>
      <c r="I49" s="79" t="s">
        <v>2083</v>
      </c>
    </row>
    <row r="50" spans="1:9" x14ac:dyDescent="0.25">
      <c r="A50" s="78">
        <v>17</v>
      </c>
      <c r="B50" s="79" t="s">
        <v>3319</v>
      </c>
      <c r="C50" s="79" t="s">
        <v>2082</v>
      </c>
      <c r="D50" s="90" t="s">
        <v>2040</v>
      </c>
      <c r="E50" s="79">
        <v>0</v>
      </c>
      <c r="F50" s="79"/>
      <c r="G50" s="79"/>
      <c r="H50" s="79"/>
      <c r="I50" s="79" t="s">
        <v>2083</v>
      </c>
    </row>
    <row r="51" spans="1:9" x14ac:dyDescent="0.25">
      <c r="A51" s="78">
        <v>18</v>
      </c>
      <c r="B51" s="79" t="s">
        <v>3320</v>
      </c>
      <c r="C51" s="79" t="s">
        <v>2082</v>
      </c>
      <c r="D51" s="90" t="s">
        <v>2040</v>
      </c>
      <c r="E51" s="79">
        <v>0</v>
      </c>
      <c r="F51" s="79"/>
      <c r="G51" s="79"/>
      <c r="H51" s="79"/>
      <c r="I51" s="79" t="s">
        <v>2083</v>
      </c>
    </row>
  </sheetData>
  <dataValidations count="2">
    <dataValidation type="list" allowBlank="1" showInputMessage="1" showErrorMessage="1" sqref="C9" xr:uid="{00000000-0002-0000-0600-000000000000}">
      <formula1>"TASK,ISR"</formula1>
    </dataValidation>
    <dataValidation type="list" allowBlank="1" showInputMessage="1" showErrorMessage="1" sqref="C10:C51" xr:uid="{E8097BC7-BEC1-439B-B8BA-263DBCA38113}">
      <formula1>"osdCtxTask,osdCtxIsr"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>
    <tabColor theme="4" tint="0.39997558519241921"/>
  </sheetPr>
  <dimension ref="A3:K48"/>
  <sheetViews>
    <sheetView tabSelected="1" topLeftCell="A16" zoomScaleNormal="100" workbookViewId="0">
      <selection activeCell="E43" sqref="E43"/>
    </sheetView>
  </sheetViews>
  <sheetFormatPr defaultColWidth="9.28515625" defaultRowHeight="15" x14ac:dyDescent="0.25"/>
  <cols>
    <col min="1" max="1" width="9.28515625" style="3"/>
    <col min="2" max="2" width="31" style="1" bestFit="1" customWidth="1"/>
    <col min="3" max="3" width="41.7109375" style="3" customWidth="1"/>
    <col min="4" max="4" width="27" style="3" customWidth="1"/>
    <col min="5" max="5" width="11.7109375" style="3" bestFit="1" customWidth="1"/>
    <col min="6" max="6" width="23.28515625" style="1" bestFit="1" customWidth="1"/>
    <col min="7" max="7" width="9.28515625" style="2"/>
    <col min="8" max="8" width="9.28515625" style="1"/>
    <col min="9" max="9" width="22.7109375" style="3" bestFit="1" customWidth="1"/>
    <col min="10" max="10" width="12.7109375" style="1" customWidth="1"/>
    <col min="11" max="11" width="15.7109375" style="1" customWidth="1"/>
    <col min="12" max="16384" width="9.28515625" style="1"/>
  </cols>
  <sheetData>
    <row r="3" spans="1:11" ht="15.75" thickBot="1" x14ac:dyDescent="0.3">
      <c r="C3" s="68"/>
      <c r="D3" s="68"/>
      <c r="I3" s="1"/>
    </row>
    <row r="4" spans="1:11" ht="15.75" thickBot="1" x14ac:dyDescent="0.3">
      <c r="B4" s="6" t="s">
        <v>8</v>
      </c>
      <c r="C4" s="126" t="s">
        <v>2100</v>
      </c>
      <c r="D4" s="68"/>
      <c r="I4" s="1"/>
    </row>
    <row r="5" spans="1:11" ht="15.75" thickBot="1" x14ac:dyDescent="0.3">
      <c r="B5" s="8" t="s">
        <v>0</v>
      </c>
      <c r="C5" s="127">
        <f>COUNTA(B13:B217)</f>
        <v>31</v>
      </c>
      <c r="D5" s="68"/>
      <c r="F5" s="103" t="s">
        <v>2838</v>
      </c>
      <c r="G5" s="132" cm="1">
        <f t="array" ref="G5">INT(SUMPRODUCT(1/COUNTIF(E13:E45,E13:E45&amp;""))-1)</f>
        <v>31</v>
      </c>
      <c r="I5" s="134" t="s">
        <v>2862</v>
      </c>
      <c r="J5" s="133" t="s">
        <v>2864</v>
      </c>
    </row>
    <row r="6" spans="1:11" x14ac:dyDescent="0.25">
      <c r="B6" s="8" t="s">
        <v>1</v>
      </c>
      <c r="C6" s="136">
        <f>COUNTA(Rte_AlarmList!A6:A186)</f>
        <v>95</v>
      </c>
      <c r="D6" s="185" t="s">
        <v>35</v>
      </c>
      <c r="E6" s="186"/>
      <c r="F6" s="103" t="s">
        <v>2865</v>
      </c>
      <c r="G6" s="132" cm="1">
        <f t="array" ref="G6">INT(SUMPRODUCT(1/COUNTIF(D13:D45,D13:D45&amp;""))-1)</f>
        <v>31</v>
      </c>
      <c r="I6" s="135" t="s">
        <v>2863</v>
      </c>
      <c r="J6" s="133" t="s">
        <v>2864</v>
      </c>
    </row>
    <row r="7" spans="1:11" x14ac:dyDescent="0.25">
      <c r="B7" s="8" t="s">
        <v>2</v>
      </c>
      <c r="C7" s="9"/>
      <c r="D7" s="187" t="s">
        <v>658</v>
      </c>
      <c r="E7" s="188"/>
      <c r="I7" s="1"/>
    </row>
    <row r="8" spans="1:11" x14ac:dyDescent="0.25">
      <c r="B8" s="8" t="s">
        <v>885</v>
      </c>
      <c r="C8" s="9">
        <v>256</v>
      </c>
      <c r="D8" s="187" t="s">
        <v>686</v>
      </c>
      <c r="E8" s="188"/>
      <c r="I8" s="1"/>
    </row>
    <row r="9" spans="1:11" x14ac:dyDescent="0.25">
      <c r="B9" s="8" t="s">
        <v>12</v>
      </c>
      <c r="C9" s="9" t="s">
        <v>13</v>
      </c>
      <c r="D9" s="187" t="s">
        <v>690</v>
      </c>
      <c r="E9" s="188"/>
      <c r="I9" s="1"/>
    </row>
    <row r="10" spans="1:11" ht="15.75" thickBot="1" x14ac:dyDescent="0.3">
      <c r="B10" s="10" t="s">
        <v>682</v>
      </c>
      <c r="C10" s="11">
        <v>2</v>
      </c>
      <c r="D10" s="187" t="s">
        <v>884</v>
      </c>
      <c r="E10" s="188"/>
      <c r="I10" s="1"/>
    </row>
    <row r="11" spans="1:11" ht="15.75" thickBot="1" x14ac:dyDescent="0.3">
      <c r="I11" s="1"/>
    </row>
    <row r="12" spans="1:11" ht="45" x14ac:dyDescent="0.25">
      <c r="A12" s="20" t="s">
        <v>1182</v>
      </c>
      <c r="B12" s="19" t="s">
        <v>680</v>
      </c>
      <c r="C12" s="20" t="s">
        <v>3</v>
      </c>
      <c r="D12" s="20" t="s">
        <v>835</v>
      </c>
      <c r="E12" s="20" t="s">
        <v>5</v>
      </c>
      <c r="F12" s="19" t="s">
        <v>6</v>
      </c>
      <c r="G12" s="21" t="s">
        <v>9</v>
      </c>
      <c r="H12" s="45" t="s">
        <v>890</v>
      </c>
      <c r="I12" s="45" t="s">
        <v>1118</v>
      </c>
      <c r="J12" s="170" t="s">
        <v>3006</v>
      </c>
      <c r="K12" s="170" t="s">
        <v>3674</v>
      </c>
    </row>
    <row r="13" spans="1:11" x14ac:dyDescent="0.25">
      <c r="A13" s="12">
        <v>1</v>
      </c>
      <c r="B13" s="103" t="s">
        <v>2902</v>
      </c>
      <c r="C13" s="167" t="s">
        <v>2970</v>
      </c>
      <c r="D13" s="167" t="s">
        <v>84</v>
      </c>
      <c r="E13" s="56">
        <v>5</v>
      </c>
      <c r="F13" s="103" t="s">
        <v>68</v>
      </c>
      <c r="G13" s="9" t="s">
        <v>10</v>
      </c>
      <c r="H13" s="12">
        <v>8192</v>
      </c>
      <c r="I13" s="168">
        <v>1</v>
      </c>
      <c r="J13" s="103" t="s">
        <v>2971</v>
      </c>
      <c r="K13" s="103" t="s">
        <v>3675</v>
      </c>
    </row>
    <row r="14" spans="1:11" x14ac:dyDescent="0.25">
      <c r="A14" s="12">
        <v>2</v>
      </c>
      <c r="B14" s="103" t="s">
        <v>2904</v>
      </c>
      <c r="C14" s="167" t="s">
        <v>2972</v>
      </c>
      <c r="D14" s="167" t="s">
        <v>85</v>
      </c>
      <c r="E14" s="56">
        <v>6</v>
      </c>
      <c r="F14" s="103" t="s">
        <v>68</v>
      </c>
      <c r="G14" s="9" t="s">
        <v>10</v>
      </c>
      <c r="H14" s="12">
        <v>8192</v>
      </c>
      <c r="I14" s="168">
        <v>1</v>
      </c>
      <c r="J14" s="103" t="s">
        <v>2971</v>
      </c>
      <c r="K14" s="103" t="s">
        <v>3675</v>
      </c>
    </row>
    <row r="15" spans="1:11" x14ac:dyDescent="0.25">
      <c r="A15" s="12">
        <v>3</v>
      </c>
      <c r="B15" s="24" t="s">
        <v>2046</v>
      </c>
      <c r="C15" s="167" t="s">
        <v>2047</v>
      </c>
      <c r="D15" s="167" t="s">
        <v>86</v>
      </c>
      <c r="E15" s="56">
        <v>30</v>
      </c>
      <c r="F15" s="103" t="s">
        <v>7</v>
      </c>
      <c r="G15" s="9" t="s">
        <v>11</v>
      </c>
      <c r="H15" s="12">
        <v>8192</v>
      </c>
      <c r="I15" s="168">
        <v>3</v>
      </c>
      <c r="J15" s="103" t="s">
        <v>2973</v>
      </c>
      <c r="K15" s="103" t="s">
        <v>3675</v>
      </c>
    </row>
    <row r="16" spans="1:11" x14ac:dyDescent="0.25">
      <c r="A16" s="12">
        <v>4</v>
      </c>
      <c r="B16" s="103" t="s">
        <v>2775</v>
      </c>
      <c r="C16" s="167" t="s">
        <v>2776</v>
      </c>
      <c r="D16" s="167" t="s">
        <v>87</v>
      </c>
      <c r="E16" s="56">
        <v>24</v>
      </c>
      <c r="F16" s="103" t="s">
        <v>7</v>
      </c>
      <c r="G16" s="9" t="s">
        <v>10</v>
      </c>
      <c r="H16" s="12">
        <v>4096</v>
      </c>
      <c r="I16" s="168">
        <v>1</v>
      </c>
      <c r="J16" s="103" t="s">
        <v>2971</v>
      </c>
      <c r="K16" s="103" t="s">
        <v>3675</v>
      </c>
    </row>
    <row r="17" spans="1:11" x14ac:dyDescent="0.25">
      <c r="A17" s="12">
        <v>5</v>
      </c>
      <c r="B17" s="103" t="s">
        <v>2773</v>
      </c>
      <c r="C17" s="167" t="s">
        <v>2774</v>
      </c>
      <c r="D17" s="167" t="s">
        <v>88</v>
      </c>
      <c r="E17" s="56">
        <v>23</v>
      </c>
      <c r="F17" s="103" t="s">
        <v>7</v>
      </c>
      <c r="G17" s="9" t="s">
        <v>10</v>
      </c>
      <c r="H17" s="12">
        <v>4096</v>
      </c>
      <c r="I17" s="168">
        <v>1</v>
      </c>
      <c r="J17" s="103" t="s">
        <v>2971</v>
      </c>
      <c r="K17" s="103" t="s">
        <v>3675</v>
      </c>
    </row>
    <row r="18" spans="1:11" x14ac:dyDescent="0.25">
      <c r="A18" s="12">
        <v>6</v>
      </c>
      <c r="B18" s="103" t="s">
        <v>2048</v>
      </c>
      <c r="C18" s="167" t="s">
        <v>2049</v>
      </c>
      <c r="D18" s="167" t="s">
        <v>89</v>
      </c>
      <c r="E18" s="56">
        <v>0</v>
      </c>
      <c r="F18" s="103" t="s">
        <v>68</v>
      </c>
      <c r="G18" s="9" t="s">
        <v>11</v>
      </c>
      <c r="H18" s="12">
        <v>2048</v>
      </c>
      <c r="I18" s="168">
        <v>1</v>
      </c>
      <c r="J18" s="103" t="s">
        <v>2971</v>
      </c>
      <c r="K18" s="103" t="s">
        <v>3676</v>
      </c>
    </row>
    <row r="19" spans="1:11" x14ac:dyDescent="0.25">
      <c r="A19" s="12">
        <v>7</v>
      </c>
      <c r="B19" s="103" t="s">
        <v>2777</v>
      </c>
      <c r="C19" s="167" t="s">
        <v>2778</v>
      </c>
      <c r="D19" s="167" t="s">
        <v>90</v>
      </c>
      <c r="E19" s="56">
        <v>8</v>
      </c>
      <c r="F19" s="103" t="s">
        <v>7</v>
      </c>
      <c r="G19" s="9" t="s">
        <v>10</v>
      </c>
      <c r="H19" s="12">
        <v>2048</v>
      </c>
      <c r="I19" s="168">
        <v>1</v>
      </c>
      <c r="J19" s="103" t="s">
        <v>2971</v>
      </c>
      <c r="K19" s="103" t="s">
        <v>3675</v>
      </c>
    </row>
    <row r="20" spans="1:11" x14ac:dyDescent="0.25">
      <c r="A20" s="12">
        <v>8</v>
      </c>
      <c r="B20" s="103" t="s">
        <v>2779</v>
      </c>
      <c r="C20" s="167" t="s">
        <v>2780</v>
      </c>
      <c r="D20" s="167" t="s">
        <v>91</v>
      </c>
      <c r="E20" s="56">
        <v>9</v>
      </c>
      <c r="F20" s="103" t="s">
        <v>7</v>
      </c>
      <c r="G20" s="48" t="s">
        <v>10</v>
      </c>
      <c r="H20" s="12">
        <v>2048</v>
      </c>
      <c r="I20" s="168">
        <v>1</v>
      </c>
      <c r="J20" s="103" t="s">
        <v>2971</v>
      </c>
      <c r="K20" s="103" t="s">
        <v>3675</v>
      </c>
    </row>
    <row r="21" spans="1:11" x14ac:dyDescent="0.25">
      <c r="A21" s="12">
        <v>9</v>
      </c>
      <c r="B21" s="103" t="s">
        <v>2781</v>
      </c>
      <c r="C21" s="167" t="s">
        <v>2782</v>
      </c>
      <c r="D21" s="167" t="s">
        <v>92</v>
      </c>
      <c r="E21" s="137">
        <v>10</v>
      </c>
      <c r="F21" s="103" t="s">
        <v>7</v>
      </c>
      <c r="G21" s="9" t="s">
        <v>10</v>
      </c>
      <c r="H21" s="12">
        <v>2048</v>
      </c>
      <c r="I21" s="168">
        <v>1</v>
      </c>
      <c r="J21" s="103" t="s">
        <v>2971</v>
      </c>
      <c r="K21" s="103" t="s">
        <v>3675</v>
      </c>
    </row>
    <row r="22" spans="1:11" x14ac:dyDescent="0.25">
      <c r="A22" s="12">
        <v>10</v>
      </c>
      <c r="B22" s="103" t="s">
        <v>2808</v>
      </c>
      <c r="C22" s="167" t="s">
        <v>2809</v>
      </c>
      <c r="D22" s="167" t="s">
        <v>93</v>
      </c>
      <c r="E22" s="56">
        <v>11</v>
      </c>
      <c r="F22" s="103" t="s">
        <v>7</v>
      </c>
      <c r="G22" s="9" t="s">
        <v>10</v>
      </c>
      <c r="H22" s="12">
        <v>2048</v>
      </c>
      <c r="I22" s="168">
        <v>1</v>
      </c>
      <c r="J22" s="103" t="s">
        <v>2971</v>
      </c>
      <c r="K22" s="103" t="s">
        <v>3675</v>
      </c>
    </row>
    <row r="23" spans="1:11" x14ac:dyDescent="0.25">
      <c r="A23" s="12">
        <v>11</v>
      </c>
      <c r="B23" s="103" t="s">
        <v>2974</v>
      </c>
      <c r="C23" s="167" t="s">
        <v>2975</v>
      </c>
      <c r="D23" s="167" t="s">
        <v>94</v>
      </c>
      <c r="E23" s="56">
        <v>12</v>
      </c>
      <c r="F23" s="103" t="s">
        <v>7</v>
      </c>
      <c r="G23" s="9" t="s">
        <v>10</v>
      </c>
      <c r="H23" s="12">
        <v>2048</v>
      </c>
      <c r="I23" s="168">
        <v>1</v>
      </c>
      <c r="J23" s="103" t="s">
        <v>2971</v>
      </c>
      <c r="K23" s="103" t="s">
        <v>3675</v>
      </c>
    </row>
    <row r="24" spans="1:11" x14ac:dyDescent="0.25">
      <c r="A24" s="12">
        <v>12</v>
      </c>
      <c r="B24" s="103" t="s">
        <v>2790</v>
      </c>
      <c r="C24" s="167" t="s">
        <v>2791</v>
      </c>
      <c r="D24" s="167" t="s">
        <v>95</v>
      </c>
      <c r="E24" s="137">
        <v>13</v>
      </c>
      <c r="F24" s="103" t="s">
        <v>7</v>
      </c>
      <c r="G24" s="9" t="s">
        <v>10</v>
      </c>
      <c r="H24" s="12">
        <v>2048</v>
      </c>
      <c r="I24" s="168">
        <v>1</v>
      </c>
      <c r="J24" s="103" t="s">
        <v>2971</v>
      </c>
      <c r="K24" s="103" t="s">
        <v>3675</v>
      </c>
    </row>
    <row r="25" spans="1:11" x14ac:dyDescent="0.25">
      <c r="A25" s="12">
        <v>13</v>
      </c>
      <c r="B25" s="103" t="s">
        <v>2976</v>
      </c>
      <c r="C25" s="167" t="s">
        <v>2977</v>
      </c>
      <c r="D25" s="167" t="s">
        <v>96</v>
      </c>
      <c r="E25" s="56">
        <v>14</v>
      </c>
      <c r="F25" s="103" t="s">
        <v>7</v>
      </c>
      <c r="G25" s="9" t="s">
        <v>10</v>
      </c>
      <c r="H25" s="12">
        <v>2048</v>
      </c>
      <c r="I25" s="168">
        <v>1</v>
      </c>
      <c r="J25" s="103" t="s">
        <v>2971</v>
      </c>
      <c r="K25" s="103" t="s">
        <v>3675</v>
      </c>
    </row>
    <row r="26" spans="1:11" x14ac:dyDescent="0.25">
      <c r="A26" s="12">
        <v>14</v>
      </c>
      <c r="B26" s="103" t="s">
        <v>2978</v>
      </c>
      <c r="C26" s="167" t="s">
        <v>2979</v>
      </c>
      <c r="D26" s="167" t="s">
        <v>97</v>
      </c>
      <c r="E26" s="137">
        <v>15</v>
      </c>
      <c r="F26" s="103" t="s">
        <v>7</v>
      </c>
      <c r="G26" s="9" t="s">
        <v>10</v>
      </c>
      <c r="H26" s="12">
        <v>2048</v>
      </c>
      <c r="I26" s="169">
        <v>1</v>
      </c>
      <c r="J26" s="103" t="s">
        <v>2971</v>
      </c>
      <c r="K26" s="103" t="s">
        <v>3675</v>
      </c>
    </row>
    <row r="27" spans="1:11" x14ac:dyDescent="0.25">
      <c r="A27" s="12">
        <v>15</v>
      </c>
      <c r="B27" s="103" t="s">
        <v>2980</v>
      </c>
      <c r="C27" s="167" t="s">
        <v>2981</v>
      </c>
      <c r="D27" s="167" t="s">
        <v>98</v>
      </c>
      <c r="E27" s="56">
        <v>16</v>
      </c>
      <c r="F27" s="103" t="s">
        <v>7</v>
      </c>
      <c r="G27" s="9" t="s">
        <v>10</v>
      </c>
      <c r="H27" s="12">
        <v>2048</v>
      </c>
      <c r="I27" s="169">
        <v>1</v>
      </c>
      <c r="J27" s="103" t="s">
        <v>2971</v>
      </c>
      <c r="K27" s="103" t="s">
        <v>3675</v>
      </c>
    </row>
    <row r="28" spans="1:11" x14ac:dyDescent="0.25">
      <c r="A28" s="12">
        <v>16</v>
      </c>
      <c r="B28" s="103" t="s">
        <v>2982</v>
      </c>
      <c r="C28" s="167" t="s">
        <v>2983</v>
      </c>
      <c r="D28" s="167" t="s">
        <v>2984</v>
      </c>
      <c r="E28" s="56">
        <v>17</v>
      </c>
      <c r="F28" s="103" t="s">
        <v>7</v>
      </c>
      <c r="G28" s="9" t="s">
        <v>10</v>
      </c>
      <c r="H28" s="12">
        <v>2048</v>
      </c>
      <c r="I28" s="168">
        <v>1</v>
      </c>
      <c r="J28" s="103" t="s">
        <v>2971</v>
      </c>
      <c r="K28" s="103" t="s">
        <v>3675</v>
      </c>
    </row>
    <row r="29" spans="1:11" x14ac:dyDescent="0.25">
      <c r="A29" s="12">
        <v>17</v>
      </c>
      <c r="B29" s="103" t="s">
        <v>2985</v>
      </c>
      <c r="C29" s="167" t="s">
        <v>2986</v>
      </c>
      <c r="D29" s="167" t="s">
        <v>2987</v>
      </c>
      <c r="E29" s="137">
        <v>18</v>
      </c>
      <c r="F29" s="103" t="s">
        <v>7</v>
      </c>
      <c r="G29" s="9" t="s">
        <v>10</v>
      </c>
      <c r="H29" s="12">
        <v>2048</v>
      </c>
      <c r="I29" s="168">
        <v>1</v>
      </c>
      <c r="J29" s="103" t="s">
        <v>2971</v>
      </c>
      <c r="K29" s="103" t="s">
        <v>3675</v>
      </c>
    </row>
    <row r="30" spans="1:11" x14ac:dyDescent="0.25">
      <c r="A30" s="12">
        <v>18</v>
      </c>
      <c r="B30" s="103" t="s">
        <v>2988</v>
      </c>
      <c r="C30" s="167" t="s">
        <v>2989</v>
      </c>
      <c r="D30" s="167" t="s">
        <v>2990</v>
      </c>
      <c r="E30" s="56">
        <v>19</v>
      </c>
      <c r="F30" s="103" t="s">
        <v>7</v>
      </c>
      <c r="G30" s="9" t="s">
        <v>10</v>
      </c>
      <c r="H30" s="12">
        <v>2048</v>
      </c>
      <c r="I30" s="168">
        <v>1</v>
      </c>
      <c r="J30" s="103" t="s">
        <v>2971</v>
      </c>
      <c r="K30" s="103" t="s">
        <v>3675</v>
      </c>
    </row>
    <row r="31" spans="1:11" x14ac:dyDescent="0.25">
      <c r="A31" s="12">
        <v>19</v>
      </c>
      <c r="B31" s="103" t="s">
        <v>2783</v>
      </c>
      <c r="C31" s="167" t="s">
        <v>2784</v>
      </c>
      <c r="D31" s="167" t="s">
        <v>2991</v>
      </c>
      <c r="E31" s="56">
        <v>22</v>
      </c>
      <c r="F31" s="103" t="s">
        <v>7</v>
      </c>
      <c r="G31" s="9" t="s">
        <v>10</v>
      </c>
      <c r="H31" s="12">
        <v>2048</v>
      </c>
      <c r="I31" s="168">
        <v>1</v>
      </c>
      <c r="J31" s="103" t="s">
        <v>2971</v>
      </c>
      <c r="K31" s="103" t="s">
        <v>3675</v>
      </c>
    </row>
    <row r="32" spans="1:11" x14ac:dyDescent="0.25">
      <c r="A32" s="12">
        <v>20</v>
      </c>
      <c r="B32" s="24" t="s">
        <v>2992</v>
      </c>
      <c r="C32" s="167" t="s">
        <v>2993</v>
      </c>
      <c r="D32" s="167" t="s">
        <v>2785</v>
      </c>
      <c r="E32" s="137">
        <v>25</v>
      </c>
      <c r="F32" s="103" t="s">
        <v>7</v>
      </c>
      <c r="G32" s="9" t="s">
        <v>10</v>
      </c>
      <c r="H32" s="12">
        <v>2048</v>
      </c>
      <c r="I32" s="168">
        <v>1</v>
      </c>
      <c r="J32" s="103" t="s">
        <v>2971</v>
      </c>
      <c r="K32" s="103" t="s">
        <v>3675</v>
      </c>
    </row>
    <row r="33" spans="1:11" x14ac:dyDescent="0.25">
      <c r="A33" s="12">
        <v>21</v>
      </c>
      <c r="B33" s="103" t="s">
        <v>2794</v>
      </c>
      <c r="C33" s="167" t="s">
        <v>2795</v>
      </c>
      <c r="D33" s="167" t="s">
        <v>2786</v>
      </c>
      <c r="E33" s="56">
        <v>26</v>
      </c>
      <c r="F33" s="103" t="s">
        <v>7</v>
      </c>
      <c r="G33" s="9" t="s">
        <v>10</v>
      </c>
      <c r="H33" s="12">
        <v>2048</v>
      </c>
      <c r="I33" s="168">
        <v>1</v>
      </c>
      <c r="J33" s="103" t="s">
        <v>2971</v>
      </c>
      <c r="K33" s="103" t="s">
        <v>3675</v>
      </c>
    </row>
    <row r="34" spans="1:11" x14ac:dyDescent="0.25">
      <c r="A34" s="12">
        <v>22</v>
      </c>
      <c r="B34" s="103" t="s">
        <v>2900</v>
      </c>
      <c r="C34" s="167" t="s">
        <v>2994</v>
      </c>
      <c r="D34" s="167" t="s">
        <v>2787</v>
      </c>
      <c r="E34" s="56">
        <v>2</v>
      </c>
      <c r="F34" s="103" t="s">
        <v>68</v>
      </c>
      <c r="G34" s="9" t="s">
        <v>10</v>
      </c>
      <c r="H34" s="12">
        <v>2048</v>
      </c>
      <c r="I34" s="168">
        <v>1</v>
      </c>
      <c r="J34" s="103" t="s">
        <v>2971</v>
      </c>
      <c r="K34" s="103" t="s">
        <v>3675</v>
      </c>
    </row>
    <row r="35" spans="1:11" x14ac:dyDescent="0.25">
      <c r="A35" s="12">
        <v>23</v>
      </c>
      <c r="B35" s="24" t="s">
        <v>2899</v>
      </c>
      <c r="C35" s="167" t="s">
        <v>2995</v>
      </c>
      <c r="D35" s="167" t="s">
        <v>2788</v>
      </c>
      <c r="E35" s="56">
        <v>3</v>
      </c>
      <c r="F35" s="103" t="s">
        <v>68</v>
      </c>
      <c r="G35" s="9" t="s">
        <v>10</v>
      </c>
      <c r="H35" s="12">
        <v>2048</v>
      </c>
      <c r="I35" s="168">
        <v>1</v>
      </c>
      <c r="J35" s="103" t="s">
        <v>2971</v>
      </c>
      <c r="K35" s="103" t="s">
        <v>3675</v>
      </c>
    </row>
    <row r="36" spans="1:11" x14ac:dyDescent="0.25">
      <c r="A36" s="12">
        <v>24</v>
      </c>
      <c r="B36" s="103" t="s">
        <v>2901</v>
      </c>
      <c r="C36" s="167" t="s">
        <v>2996</v>
      </c>
      <c r="D36" s="167" t="s">
        <v>2789</v>
      </c>
      <c r="E36" s="56">
        <v>4</v>
      </c>
      <c r="F36" s="103" t="s">
        <v>68</v>
      </c>
      <c r="G36" s="9" t="s">
        <v>10</v>
      </c>
      <c r="H36" s="12">
        <v>2048</v>
      </c>
      <c r="I36" s="168">
        <v>1</v>
      </c>
      <c r="J36" s="103" t="s">
        <v>2971</v>
      </c>
      <c r="K36" s="103" t="s">
        <v>3675</v>
      </c>
    </row>
    <row r="37" spans="1:11" x14ac:dyDescent="0.25">
      <c r="A37" s="12">
        <v>25</v>
      </c>
      <c r="B37" s="24" t="s">
        <v>2544</v>
      </c>
      <c r="C37" s="167" t="s">
        <v>2545</v>
      </c>
      <c r="D37" s="167" t="s">
        <v>2792</v>
      </c>
      <c r="E37" s="56">
        <v>27</v>
      </c>
      <c r="F37" s="103" t="s">
        <v>7</v>
      </c>
      <c r="G37" s="9" t="s">
        <v>10</v>
      </c>
      <c r="H37" s="12">
        <v>2048</v>
      </c>
      <c r="I37" s="168">
        <v>1</v>
      </c>
      <c r="J37" s="103" t="s">
        <v>2971</v>
      </c>
      <c r="K37" s="103" t="s">
        <v>3675</v>
      </c>
    </row>
    <row r="38" spans="1:11" x14ac:dyDescent="0.25">
      <c r="A38" s="12">
        <v>26</v>
      </c>
      <c r="B38" s="24" t="s">
        <v>2997</v>
      </c>
      <c r="C38" s="167" t="s">
        <v>2998</v>
      </c>
      <c r="D38" s="167" t="s">
        <v>2793</v>
      </c>
      <c r="E38" s="56">
        <v>28</v>
      </c>
      <c r="F38" s="103" t="s">
        <v>7</v>
      </c>
      <c r="G38" s="9" t="s">
        <v>10</v>
      </c>
      <c r="H38" s="12">
        <v>2048</v>
      </c>
      <c r="I38" s="168">
        <v>1</v>
      </c>
      <c r="J38" s="103" t="s">
        <v>2971</v>
      </c>
      <c r="K38" s="103" t="s">
        <v>3675</v>
      </c>
    </row>
    <row r="39" spans="1:11" x14ac:dyDescent="0.25">
      <c r="A39" s="12">
        <v>27</v>
      </c>
      <c r="B39" s="24" t="s">
        <v>2771</v>
      </c>
      <c r="C39" s="167" t="s">
        <v>2772</v>
      </c>
      <c r="D39" s="167" t="s">
        <v>2796</v>
      </c>
      <c r="E39" s="56">
        <v>7</v>
      </c>
      <c r="F39" s="103" t="s">
        <v>7</v>
      </c>
      <c r="G39" s="9" t="s">
        <v>10</v>
      </c>
      <c r="H39" s="12">
        <v>1024</v>
      </c>
      <c r="I39" s="168">
        <v>1</v>
      </c>
      <c r="J39" s="103" t="s">
        <v>2971</v>
      </c>
      <c r="K39" s="103" t="s">
        <v>3675</v>
      </c>
    </row>
    <row r="40" spans="1:11" x14ac:dyDescent="0.25">
      <c r="A40" s="12">
        <v>28</v>
      </c>
      <c r="B40" s="103" t="s">
        <v>2908</v>
      </c>
      <c r="C40" s="167" t="s">
        <v>2999</v>
      </c>
      <c r="D40" s="167" t="s">
        <v>2810</v>
      </c>
      <c r="E40" s="56">
        <v>1</v>
      </c>
      <c r="F40" s="103" t="s">
        <v>68</v>
      </c>
      <c r="G40" s="9" t="s">
        <v>10</v>
      </c>
      <c r="H40" s="12">
        <v>1024</v>
      </c>
      <c r="I40" s="168">
        <v>1</v>
      </c>
      <c r="J40" s="103" t="s">
        <v>2971</v>
      </c>
      <c r="K40" s="103" t="s">
        <v>3675</v>
      </c>
    </row>
    <row r="41" spans="1:11" x14ac:dyDescent="0.25">
      <c r="A41" s="12">
        <v>29</v>
      </c>
      <c r="B41" s="24" t="s">
        <v>3000</v>
      </c>
      <c r="C41" s="167" t="s">
        <v>3001</v>
      </c>
      <c r="D41" s="167" t="s">
        <v>2841</v>
      </c>
      <c r="E41" s="56">
        <v>20</v>
      </c>
      <c r="F41" s="103" t="s">
        <v>7</v>
      </c>
      <c r="G41" s="9" t="s">
        <v>10</v>
      </c>
      <c r="H41" s="12">
        <v>1024</v>
      </c>
      <c r="I41" s="168">
        <v>1</v>
      </c>
      <c r="J41" s="103" t="s">
        <v>2971</v>
      </c>
      <c r="K41" s="103" t="s">
        <v>3675</v>
      </c>
    </row>
    <row r="42" spans="1:11" x14ac:dyDescent="0.25">
      <c r="A42" s="12">
        <v>30</v>
      </c>
      <c r="B42" s="24" t="s">
        <v>3002</v>
      </c>
      <c r="C42" s="167" t="s">
        <v>3003</v>
      </c>
      <c r="D42" s="167" t="s">
        <v>2842</v>
      </c>
      <c r="E42" s="56">
        <v>21</v>
      </c>
      <c r="F42" s="103" t="s">
        <v>7</v>
      </c>
      <c r="G42" s="9" t="s">
        <v>10</v>
      </c>
      <c r="H42" s="12">
        <v>1024</v>
      </c>
      <c r="I42" s="168">
        <v>1</v>
      </c>
      <c r="J42" s="103" t="s">
        <v>2971</v>
      </c>
      <c r="K42" s="103" t="s">
        <v>3675</v>
      </c>
    </row>
    <row r="43" spans="1:11" x14ac:dyDescent="0.25">
      <c r="A43" s="12">
        <v>31</v>
      </c>
      <c r="B43" s="24" t="s">
        <v>3004</v>
      </c>
      <c r="C43" s="167" t="s">
        <v>3005</v>
      </c>
      <c r="D43" s="167" t="s">
        <v>2843</v>
      </c>
      <c r="E43" s="56">
        <v>29</v>
      </c>
      <c r="F43" s="103" t="s">
        <v>7</v>
      </c>
      <c r="G43" s="9" t="s">
        <v>10</v>
      </c>
      <c r="H43" s="12">
        <v>256</v>
      </c>
      <c r="I43" s="168">
        <v>1</v>
      </c>
      <c r="J43" s="103" t="s">
        <v>2971</v>
      </c>
      <c r="K43" s="103" t="s">
        <v>3675</v>
      </c>
    </row>
    <row r="44" spans="1:11" x14ac:dyDescent="0.25">
      <c r="A44" s="12"/>
      <c r="B44" s="103"/>
      <c r="C44" s="167"/>
      <c r="D44" s="167"/>
      <c r="E44" s="56"/>
      <c r="F44" s="103"/>
      <c r="G44" s="48"/>
      <c r="H44" s="12"/>
      <c r="I44" s="168"/>
      <c r="J44" s="103"/>
      <c r="K44" s="103"/>
    </row>
    <row r="45" spans="1:11" x14ac:dyDescent="0.25">
      <c r="A45" s="12"/>
      <c r="B45" s="103"/>
      <c r="C45" s="22"/>
      <c r="D45" s="22"/>
      <c r="E45" s="56"/>
      <c r="F45" s="103"/>
      <c r="G45" s="48"/>
      <c r="H45" s="12"/>
      <c r="I45" s="103"/>
      <c r="J45" s="103"/>
      <c r="K45" s="103"/>
    </row>
    <row r="46" spans="1:11" x14ac:dyDescent="0.25">
      <c r="E46" s="137"/>
    </row>
    <row r="47" spans="1:11" x14ac:dyDescent="0.25">
      <c r="E47" s="137"/>
    </row>
    <row r="48" spans="1:11" x14ac:dyDescent="0.25">
      <c r="E48" s="137" t="s">
        <v>99</v>
      </c>
    </row>
  </sheetData>
  <sortState xmlns:xlrd2="http://schemas.microsoft.com/office/spreadsheetml/2017/richdata2" ref="B13:I48">
    <sortCondition ref="H13:H50"/>
    <sortCondition descending="1" ref="H13:H43"/>
  </sortState>
  <mergeCells count="5">
    <mergeCell ref="D6:E6"/>
    <mergeCell ref="D7:E7"/>
    <mergeCell ref="D8:E8"/>
    <mergeCell ref="D9:E9"/>
    <mergeCell ref="D10:E10"/>
  </mergeCells>
  <phoneticPr fontId="22" type="noConversion"/>
  <conditionalFormatting sqref="H12 G45:G1048576 G1:G3 G5:G12">
    <cfRule type="cellIs" dxfId="9" priority="79" operator="equal">
      <formula>"Yes"</formula>
    </cfRule>
  </conditionalFormatting>
  <conditionalFormatting sqref="I12">
    <cfRule type="cellIs" dxfId="8" priority="71" operator="equal">
      <formula>"Yes"</formula>
    </cfRule>
  </conditionalFormatting>
  <conditionalFormatting sqref="J5:J6">
    <cfRule type="cellIs" dxfId="7" priority="7" operator="equal">
      <formula>"Enabled"</formula>
    </cfRule>
  </conditionalFormatting>
  <conditionalFormatting sqref="J5:J6">
    <cfRule type="cellIs" dxfId="6" priority="6" operator="equal">
      <formula>"Disabled"</formula>
    </cfRule>
  </conditionalFormatting>
  <conditionalFormatting sqref="G44">
    <cfRule type="cellIs" dxfId="5" priority="5" operator="equal">
      <formula>"Yes"</formula>
    </cfRule>
  </conditionalFormatting>
  <conditionalFormatting sqref="G21:G25 G13:G19 G38:G43">
    <cfRule type="cellIs" dxfId="4" priority="4" operator="equal">
      <formula>"Yes"</formula>
    </cfRule>
  </conditionalFormatting>
  <conditionalFormatting sqref="G26:G36">
    <cfRule type="cellIs" dxfId="3" priority="3" operator="equal">
      <formula>"Yes"</formula>
    </cfRule>
  </conditionalFormatting>
  <conditionalFormatting sqref="G20">
    <cfRule type="cellIs" dxfId="2" priority="2" operator="equal">
      <formula>"Yes"</formula>
    </cfRule>
  </conditionalFormatting>
  <conditionalFormatting sqref="G37">
    <cfRule type="cellIs" dxfId="1" priority="1" operator="equal">
      <formula>"Yes"</formula>
    </cfRule>
  </conditionalFormatting>
  <dataValidations count="9">
    <dataValidation type="decimal" operator="lessThan" allowBlank="1" showInputMessage="1" showErrorMessage="1" sqref="E1:E5 E11 E68:E1048576" xr:uid="{00000000-0002-0000-0700-000000000000}">
      <formula1>16</formula1>
    </dataValidation>
    <dataValidation type="list" allowBlank="1" showInputMessage="1" showErrorMessage="1" sqref="C4" xr:uid="{00000000-0002-0000-0700-000001000000}">
      <formula1>"ARM Cortex M4,ARM Cortex M7,ARM Cortex R5,RL78D1x,RH850D1x,RH850F1x"</formula1>
    </dataValidation>
    <dataValidation type="list" allowBlank="1" showInputMessage="1" showErrorMessage="1" sqref="C9" xr:uid="{00000000-0002-0000-0700-000002000000}">
      <formula1>"BCC1,ECC1,ECC2"</formula1>
    </dataValidation>
    <dataValidation type="list" allowBlank="1" showInputMessage="1" showErrorMessage="1" sqref="F13:F1048576" xr:uid="{00000000-0002-0000-0700-000003000000}">
      <formula1>"Preemptive,Non-Preemptive"</formula1>
    </dataValidation>
    <dataValidation type="list" allowBlank="1" showInputMessage="1" showErrorMessage="1" sqref="G13:G1048576" xr:uid="{00000000-0002-0000-0700-000004000000}">
      <formula1>"Yes,No"</formula1>
    </dataValidation>
    <dataValidation type="decimal" errorStyle="warning" operator="lessThan" allowBlank="1" showInputMessage="1" showErrorMessage="1" sqref="C5" xr:uid="{00000000-0002-0000-0700-000005000000}">
      <formula1>32</formula1>
    </dataValidation>
    <dataValidation type="list" allowBlank="1" showInputMessage="1" showErrorMessage="1" sqref="J5:J7" xr:uid="{780EDF26-1522-4188-B8E5-A6AD82D8231E}">
      <formula1>"Enabled,Disabled"</formula1>
    </dataValidation>
    <dataValidation type="list" allowBlank="1" showInputMessage="1" showErrorMessage="1" sqref="J13:J45" xr:uid="{53EC47BE-B03A-4070-8B86-2AD9E8676640}">
      <formula1>"Basic,Extended"</formula1>
    </dataValidation>
    <dataValidation type="list" allowBlank="1" showInputMessage="1" showErrorMessage="1" sqref="K13:K45" xr:uid="{50151006-FC10-42F0-A5DB-A56667CD2B46}">
      <formula1>"OS_Privilegemode,OS_Usermode"</formula1>
    </dataValidation>
  </dataValidations>
  <hyperlinks>
    <hyperlink ref="D6:E6" location="Alarms!A13" display="Configure Alarms" xr:uid="{00000000-0004-0000-0700-000000000000}"/>
    <hyperlink ref="D7:E7" location="ISR!A13" display="Configure Interrupts" xr:uid="{00000000-0004-0000-0700-000001000000}"/>
    <hyperlink ref="D8:E8" location="SchedTable!A13" display="Schedule Tables" xr:uid="{00000000-0004-0000-0700-000002000000}"/>
    <hyperlink ref="D9:E9" location="Counters!A13" display="Configure Counters" xr:uid="{00000000-0004-0000-0700-000003000000}"/>
    <hyperlink ref="D10:E10" location="Stack!A13" display="Configure Counters" xr:uid="{00000000-0004-0000-0700-000004000000}"/>
  </hyperlinks>
  <pageMargins left="0.7" right="0.7" top="0.75" bottom="0.75" header="0.3" footer="0.3"/>
  <pageSetup orientation="portrait" verticalDpi="30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8"/>
  <dimension ref="A1:H136"/>
  <sheetViews>
    <sheetView workbookViewId="0">
      <selection activeCell="H14" sqref="H14"/>
    </sheetView>
  </sheetViews>
  <sheetFormatPr defaultRowHeight="15" x14ac:dyDescent="0.25"/>
  <cols>
    <col min="1" max="1" width="30.28515625" bestFit="1" customWidth="1"/>
    <col min="8" max="8" width="119.7109375" bestFit="1" customWidth="1"/>
  </cols>
  <sheetData>
    <row r="1" spans="1:8" x14ac:dyDescent="0.25">
      <c r="A1" t="s">
        <v>1083</v>
      </c>
    </row>
    <row r="12" spans="1:8" x14ac:dyDescent="0.25">
      <c r="H12" t="s">
        <v>958</v>
      </c>
    </row>
    <row r="13" spans="1:8" x14ac:dyDescent="0.25">
      <c r="H13" t="s">
        <v>959</v>
      </c>
    </row>
    <row r="14" spans="1:8" x14ac:dyDescent="0.25">
      <c r="H14" t="s">
        <v>960</v>
      </c>
    </row>
    <row r="15" spans="1:8" x14ac:dyDescent="0.25">
      <c r="H15" t="s">
        <v>961</v>
      </c>
    </row>
    <row r="16" spans="1:8" x14ac:dyDescent="0.25">
      <c r="H16" t="s">
        <v>962</v>
      </c>
    </row>
    <row r="17" spans="8:8" x14ac:dyDescent="0.25">
      <c r="H17" t="s">
        <v>963</v>
      </c>
    </row>
    <row r="18" spans="8:8" x14ac:dyDescent="0.25">
      <c r="H18" t="s">
        <v>964</v>
      </c>
    </row>
    <row r="19" spans="8:8" x14ac:dyDescent="0.25">
      <c r="H19" t="s">
        <v>965</v>
      </c>
    </row>
    <row r="20" spans="8:8" x14ac:dyDescent="0.25">
      <c r="H20" t="s">
        <v>966</v>
      </c>
    </row>
    <row r="21" spans="8:8" x14ac:dyDescent="0.25">
      <c r="H21" t="s">
        <v>967</v>
      </c>
    </row>
    <row r="22" spans="8:8" x14ac:dyDescent="0.25">
      <c r="H22" t="s">
        <v>968</v>
      </c>
    </row>
    <row r="23" spans="8:8" x14ac:dyDescent="0.25">
      <c r="H23" t="s">
        <v>969</v>
      </c>
    </row>
    <row r="24" spans="8:8" x14ac:dyDescent="0.25">
      <c r="H24" t="s">
        <v>970</v>
      </c>
    </row>
    <row r="25" spans="8:8" x14ac:dyDescent="0.25">
      <c r="H25" t="s">
        <v>971</v>
      </c>
    </row>
    <row r="26" spans="8:8" x14ac:dyDescent="0.25">
      <c r="H26" t="s">
        <v>972</v>
      </c>
    </row>
    <row r="27" spans="8:8" x14ac:dyDescent="0.25">
      <c r="H27" t="s">
        <v>973</v>
      </c>
    </row>
    <row r="28" spans="8:8" x14ac:dyDescent="0.25">
      <c r="H28" t="s">
        <v>974</v>
      </c>
    </row>
    <row r="29" spans="8:8" x14ac:dyDescent="0.25">
      <c r="H29" t="s">
        <v>975</v>
      </c>
    </row>
    <row r="30" spans="8:8" x14ac:dyDescent="0.25">
      <c r="H30" t="s">
        <v>976</v>
      </c>
    </row>
    <row r="31" spans="8:8" x14ac:dyDescent="0.25">
      <c r="H31" t="s">
        <v>977</v>
      </c>
    </row>
    <row r="32" spans="8:8" x14ac:dyDescent="0.25">
      <c r="H32" t="s">
        <v>978</v>
      </c>
    </row>
    <row r="33" spans="8:8" x14ac:dyDescent="0.25">
      <c r="H33" t="s">
        <v>979</v>
      </c>
    </row>
    <row r="34" spans="8:8" x14ac:dyDescent="0.25">
      <c r="H34" t="s">
        <v>980</v>
      </c>
    </row>
    <row r="35" spans="8:8" x14ac:dyDescent="0.25">
      <c r="H35" t="s">
        <v>981</v>
      </c>
    </row>
    <row r="36" spans="8:8" x14ac:dyDescent="0.25">
      <c r="H36" t="s">
        <v>982</v>
      </c>
    </row>
    <row r="37" spans="8:8" x14ac:dyDescent="0.25">
      <c r="H37" t="s">
        <v>983</v>
      </c>
    </row>
    <row r="38" spans="8:8" x14ac:dyDescent="0.25">
      <c r="H38" t="s">
        <v>984</v>
      </c>
    </row>
    <row r="39" spans="8:8" x14ac:dyDescent="0.25">
      <c r="H39" t="s">
        <v>985</v>
      </c>
    </row>
    <row r="40" spans="8:8" x14ac:dyDescent="0.25">
      <c r="H40" t="s">
        <v>986</v>
      </c>
    </row>
    <row r="41" spans="8:8" x14ac:dyDescent="0.25">
      <c r="H41" t="s">
        <v>987</v>
      </c>
    </row>
    <row r="42" spans="8:8" x14ac:dyDescent="0.25">
      <c r="H42" t="s">
        <v>988</v>
      </c>
    </row>
    <row r="43" spans="8:8" x14ac:dyDescent="0.25">
      <c r="H43" t="s">
        <v>989</v>
      </c>
    </row>
    <row r="44" spans="8:8" x14ac:dyDescent="0.25">
      <c r="H44" t="s">
        <v>990</v>
      </c>
    </row>
    <row r="45" spans="8:8" x14ac:dyDescent="0.25">
      <c r="H45" t="s">
        <v>991</v>
      </c>
    </row>
    <row r="46" spans="8:8" x14ac:dyDescent="0.25">
      <c r="H46" t="s">
        <v>992</v>
      </c>
    </row>
    <row r="47" spans="8:8" x14ac:dyDescent="0.25">
      <c r="H47" t="s">
        <v>993</v>
      </c>
    </row>
    <row r="48" spans="8:8" x14ac:dyDescent="0.25">
      <c r="H48" t="s">
        <v>994</v>
      </c>
    </row>
    <row r="49" spans="8:8" x14ac:dyDescent="0.25">
      <c r="H49" t="s">
        <v>995</v>
      </c>
    </row>
    <row r="50" spans="8:8" x14ac:dyDescent="0.25">
      <c r="H50" t="s">
        <v>996</v>
      </c>
    </row>
    <row r="51" spans="8:8" x14ac:dyDescent="0.25">
      <c r="H51" t="s">
        <v>997</v>
      </c>
    </row>
    <row r="52" spans="8:8" x14ac:dyDescent="0.25">
      <c r="H52" t="s">
        <v>998</v>
      </c>
    </row>
    <row r="53" spans="8:8" x14ac:dyDescent="0.25">
      <c r="H53" t="s">
        <v>999</v>
      </c>
    </row>
    <row r="54" spans="8:8" x14ac:dyDescent="0.25">
      <c r="H54" t="s">
        <v>1000</v>
      </c>
    </row>
    <row r="55" spans="8:8" x14ac:dyDescent="0.25">
      <c r="H55" t="s">
        <v>1001</v>
      </c>
    </row>
    <row r="56" spans="8:8" x14ac:dyDescent="0.25">
      <c r="H56" t="s">
        <v>1002</v>
      </c>
    </row>
    <row r="57" spans="8:8" x14ac:dyDescent="0.25">
      <c r="H57" t="s">
        <v>1003</v>
      </c>
    </row>
    <row r="58" spans="8:8" x14ac:dyDescent="0.25">
      <c r="H58" t="s">
        <v>1004</v>
      </c>
    </row>
    <row r="59" spans="8:8" x14ac:dyDescent="0.25">
      <c r="H59" t="s">
        <v>1005</v>
      </c>
    </row>
    <row r="60" spans="8:8" x14ac:dyDescent="0.25">
      <c r="H60" t="s">
        <v>1006</v>
      </c>
    </row>
    <row r="61" spans="8:8" x14ac:dyDescent="0.25">
      <c r="H61" t="s">
        <v>1007</v>
      </c>
    </row>
    <row r="62" spans="8:8" x14ac:dyDescent="0.25">
      <c r="H62" t="s">
        <v>1008</v>
      </c>
    </row>
    <row r="63" spans="8:8" x14ac:dyDescent="0.25">
      <c r="H63" t="s">
        <v>1009</v>
      </c>
    </row>
    <row r="64" spans="8:8" x14ac:dyDescent="0.25">
      <c r="H64" t="s">
        <v>1010</v>
      </c>
    </row>
    <row r="65" spans="8:8" x14ac:dyDescent="0.25">
      <c r="H65" t="s">
        <v>1011</v>
      </c>
    </row>
    <row r="66" spans="8:8" x14ac:dyDescent="0.25">
      <c r="H66" t="s">
        <v>1012</v>
      </c>
    </row>
    <row r="67" spans="8:8" x14ac:dyDescent="0.25">
      <c r="H67" t="s">
        <v>1013</v>
      </c>
    </row>
    <row r="68" spans="8:8" x14ac:dyDescent="0.25">
      <c r="H68" t="s">
        <v>1014</v>
      </c>
    </row>
    <row r="69" spans="8:8" x14ac:dyDescent="0.25">
      <c r="H69" t="s">
        <v>1015</v>
      </c>
    </row>
    <row r="70" spans="8:8" x14ac:dyDescent="0.25">
      <c r="H70" t="s">
        <v>1016</v>
      </c>
    </row>
    <row r="71" spans="8:8" x14ac:dyDescent="0.25">
      <c r="H71" t="s">
        <v>1017</v>
      </c>
    </row>
    <row r="72" spans="8:8" x14ac:dyDescent="0.25">
      <c r="H72" t="s">
        <v>1018</v>
      </c>
    </row>
    <row r="73" spans="8:8" x14ac:dyDescent="0.25">
      <c r="H73" t="s">
        <v>1019</v>
      </c>
    </row>
    <row r="74" spans="8:8" x14ac:dyDescent="0.25">
      <c r="H74" t="s">
        <v>1020</v>
      </c>
    </row>
    <row r="75" spans="8:8" x14ac:dyDescent="0.25">
      <c r="H75" t="s">
        <v>1021</v>
      </c>
    </row>
    <row r="76" spans="8:8" x14ac:dyDescent="0.25">
      <c r="H76" t="s">
        <v>1022</v>
      </c>
    </row>
    <row r="77" spans="8:8" x14ac:dyDescent="0.25">
      <c r="H77" t="s">
        <v>1023</v>
      </c>
    </row>
    <row r="78" spans="8:8" x14ac:dyDescent="0.25">
      <c r="H78" t="s">
        <v>1024</v>
      </c>
    </row>
    <row r="79" spans="8:8" x14ac:dyDescent="0.25">
      <c r="H79" t="s">
        <v>1025</v>
      </c>
    </row>
    <row r="80" spans="8:8" x14ac:dyDescent="0.25">
      <c r="H80" t="s">
        <v>1026</v>
      </c>
    </row>
    <row r="81" spans="8:8" x14ac:dyDescent="0.25">
      <c r="H81" t="s">
        <v>1027</v>
      </c>
    </row>
    <row r="82" spans="8:8" x14ac:dyDescent="0.25">
      <c r="H82" t="s">
        <v>1028</v>
      </c>
    </row>
    <row r="83" spans="8:8" x14ac:dyDescent="0.25">
      <c r="H83" t="s">
        <v>1029</v>
      </c>
    </row>
    <row r="84" spans="8:8" x14ac:dyDescent="0.25">
      <c r="H84" t="s">
        <v>1030</v>
      </c>
    </row>
    <row r="85" spans="8:8" x14ac:dyDescent="0.25">
      <c r="H85" t="s">
        <v>1031</v>
      </c>
    </row>
    <row r="86" spans="8:8" x14ac:dyDescent="0.25">
      <c r="H86" t="s">
        <v>1032</v>
      </c>
    </row>
    <row r="87" spans="8:8" x14ac:dyDescent="0.25">
      <c r="H87" t="s">
        <v>1033</v>
      </c>
    </row>
    <row r="88" spans="8:8" x14ac:dyDescent="0.25">
      <c r="H88" t="s">
        <v>1034</v>
      </c>
    </row>
    <row r="89" spans="8:8" x14ac:dyDescent="0.25">
      <c r="H89" t="s">
        <v>1035</v>
      </c>
    </row>
    <row r="90" spans="8:8" x14ac:dyDescent="0.25">
      <c r="H90" t="s">
        <v>1036</v>
      </c>
    </row>
    <row r="91" spans="8:8" x14ac:dyDescent="0.25">
      <c r="H91" t="s">
        <v>1037</v>
      </c>
    </row>
    <row r="92" spans="8:8" x14ac:dyDescent="0.25">
      <c r="H92" t="s">
        <v>1038</v>
      </c>
    </row>
    <row r="93" spans="8:8" x14ac:dyDescent="0.25">
      <c r="H93" t="s">
        <v>1039</v>
      </c>
    </row>
    <row r="94" spans="8:8" x14ac:dyDescent="0.25">
      <c r="H94" t="s">
        <v>1040</v>
      </c>
    </row>
    <row r="95" spans="8:8" x14ac:dyDescent="0.25">
      <c r="H95" t="s">
        <v>1041</v>
      </c>
    </row>
    <row r="96" spans="8:8" x14ac:dyDescent="0.25">
      <c r="H96" t="s">
        <v>1042</v>
      </c>
    </row>
    <row r="97" spans="8:8" x14ac:dyDescent="0.25">
      <c r="H97" t="s">
        <v>1043</v>
      </c>
    </row>
    <row r="98" spans="8:8" x14ac:dyDescent="0.25">
      <c r="H98" t="s">
        <v>1044</v>
      </c>
    </row>
    <row r="99" spans="8:8" x14ac:dyDescent="0.25">
      <c r="H99" t="s">
        <v>1045</v>
      </c>
    </row>
    <row r="100" spans="8:8" x14ac:dyDescent="0.25">
      <c r="H100" t="s">
        <v>1046</v>
      </c>
    </row>
    <row r="101" spans="8:8" x14ac:dyDescent="0.25">
      <c r="H101" t="s">
        <v>1047</v>
      </c>
    </row>
    <row r="102" spans="8:8" x14ac:dyDescent="0.25">
      <c r="H102" t="s">
        <v>1048</v>
      </c>
    </row>
    <row r="103" spans="8:8" x14ac:dyDescent="0.25">
      <c r="H103" t="s">
        <v>1049</v>
      </c>
    </row>
    <row r="104" spans="8:8" x14ac:dyDescent="0.25">
      <c r="H104" t="s">
        <v>1050</v>
      </c>
    </row>
    <row r="105" spans="8:8" x14ac:dyDescent="0.25">
      <c r="H105" t="s">
        <v>1051</v>
      </c>
    </row>
    <row r="106" spans="8:8" x14ac:dyDescent="0.25">
      <c r="H106" t="s">
        <v>1052</v>
      </c>
    </row>
    <row r="107" spans="8:8" x14ac:dyDescent="0.25">
      <c r="H107" t="s">
        <v>1053</v>
      </c>
    </row>
    <row r="108" spans="8:8" x14ac:dyDescent="0.25">
      <c r="H108" t="s">
        <v>1054</v>
      </c>
    </row>
    <row r="109" spans="8:8" x14ac:dyDescent="0.25">
      <c r="H109" t="s">
        <v>1055</v>
      </c>
    </row>
    <row r="110" spans="8:8" x14ac:dyDescent="0.25">
      <c r="H110" t="s">
        <v>1056</v>
      </c>
    </row>
    <row r="111" spans="8:8" x14ac:dyDescent="0.25">
      <c r="H111" t="s">
        <v>1057</v>
      </c>
    </row>
    <row r="112" spans="8:8" x14ac:dyDescent="0.25">
      <c r="H112" t="s">
        <v>1058</v>
      </c>
    </row>
    <row r="113" spans="8:8" x14ac:dyDescent="0.25">
      <c r="H113" t="s">
        <v>1059</v>
      </c>
    </row>
    <row r="114" spans="8:8" x14ac:dyDescent="0.25">
      <c r="H114" t="s">
        <v>1060</v>
      </c>
    </row>
    <row r="115" spans="8:8" x14ac:dyDescent="0.25">
      <c r="H115" t="s">
        <v>1061</v>
      </c>
    </row>
    <row r="116" spans="8:8" x14ac:dyDescent="0.25">
      <c r="H116" t="s">
        <v>1062</v>
      </c>
    </row>
    <row r="117" spans="8:8" x14ac:dyDescent="0.25">
      <c r="H117" t="s">
        <v>1063</v>
      </c>
    </row>
    <row r="118" spans="8:8" x14ac:dyDescent="0.25">
      <c r="H118" t="s">
        <v>1064</v>
      </c>
    </row>
    <row r="119" spans="8:8" x14ac:dyDescent="0.25">
      <c r="H119" t="s">
        <v>1065</v>
      </c>
    </row>
    <row r="120" spans="8:8" x14ac:dyDescent="0.25">
      <c r="H120" t="s">
        <v>1066</v>
      </c>
    </row>
    <row r="121" spans="8:8" x14ac:dyDescent="0.25">
      <c r="H121" t="s">
        <v>1067</v>
      </c>
    </row>
    <row r="122" spans="8:8" x14ac:dyDescent="0.25">
      <c r="H122" t="s">
        <v>1068</v>
      </c>
    </row>
    <row r="123" spans="8:8" x14ac:dyDescent="0.25">
      <c r="H123" t="s">
        <v>1069</v>
      </c>
    </row>
    <row r="124" spans="8:8" x14ac:dyDescent="0.25">
      <c r="H124" t="s">
        <v>1070</v>
      </c>
    </row>
    <row r="125" spans="8:8" x14ac:dyDescent="0.25">
      <c r="H125" t="s">
        <v>1071</v>
      </c>
    </row>
    <row r="126" spans="8:8" x14ac:dyDescent="0.25">
      <c r="H126" t="s">
        <v>1072</v>
      </c>
    </row>
    <row r="127" spans="8:8" x14ac:dyDescent="0.25">
      <c r="H127" t="s">
        <v>1073</v>
      </c>
    </row>
    <row r="128" spans="8:8" x14ac:dyDescent="0.25">
      <c r="H128" t="s">
        <v>1074</v>
      </c>
    </row>
    <row r="129" spans="8:8" x14ac:dyDescent="0.25">
      <c r="H129" t="s">
        <v>1075</v>
      </c>
    </row>
    <row r="130" spans="8:8" x14ac:dyDescent="0.25">
      <c r="H130" t="s">
        <v>1076</v>
      </c>
    </row>
    <row r="131" spans="8:8" x14ac:dyDescent="0.25">
      <c r="H131" t="s">
        <v>1077</v>
      </c>
    </row>
    <row r="132" spans="8:8" x14ac:dyDescent="0.25">
      <c r="H132" t="s">
        <v>1078</v>
      </c>
    </row>
    <row r="133" spans="8:8" x14ac:dyDescent="0.25">
      <c r="H133" t="s">
        <v>1079</v>
      </c>
    </row>
    <row r="134" spans="8:8" x14ac:dyDescent="0.25">
      <c r="H134" t="s">
        <v>1080</v>
      </c>
    </row>
    <row r="135" spans="8:8" x14ac:dyDescent="0.25">
      <c r="H135" t="s">
        <v>1081</v>
      </c>
    </row>
    <row r="136" spans="8:8" x14ac:dyDescent="0.25">
      <c r="H136" t="s">
        <v>1082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5361" r:id="rId4" name="cmdTest">
          <controlPr defaultSize="0" autoLine="0" r:id="rId5">
            <anchor moveWithCells="1">
              <from>
                <xdr:col>1</xdr:col>
                <xdr:colOff>0</xdr:colOff>
                <xdr:row>1</xdr:row>
                <xdr:rowOff>171450</xdr:rowOff>
              </from>
              <to>
                <xdr:col>4</xdr:col>
                <xdr:colOff>571500</xdr:colOff>
                <xdr:row>3</xdr:row>
                <xdr:rowOff>133350</xdr:rowOff>
              </to>
            </anchor>
          </controlPr>
        </control>
      </mc:Choice>
      <mc:Fallback>
        <control shapeId="15361" r:id="rId4" name="cmdTes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tabColor theme="2" tint="-0.499984740745262"/>
  </sheetPr>
  <dimension ref="A2:J69"/>
  <sheetViews>
    <sheetView topLeftCell="A16" workbookViewId="0">
      <selection activeCell="G44" sqref="G44"/>
    </sheetView>
  </sheetViews>
  <sheetFormatPr defaultRowHeight="15" x14ac:dyDescent="0.25"/>
  <cols>
    <col min="1" max="1" width="19.28515625" style="27" bestFit="1" customWidth="1"/>
    <col min="2" max="2" width="28.28515625" bestFit="1" customWidth="1"/>
    <col min="3" max="3" width="5.5703125" style="27" bestFit="1" customWidth="1"/>
    <col min="4" max="4" width="7.5703125" style="27" bestFit="1" customWidth="1"/>
    <col min="5" max="5" width="8.7109375" style="27" bestFit="1" customWidth="1"/>
    <col min="6" max="6" width="17.7109375" style="27" customWidth="1"/>
    <col min="7" max="7" width="34.7109375" bestFit="1" customWidth="1"/>
    <col min="8" max="8" width="36.28515625" bestFit="1" customWidth="1"/>
    <col min="9" max="10" width="23.5703125" bestFit="1" customWidth="1"/>
  </cols>
  <sheetData>
    <row r="2" spans="1:10" ht="46.9" customHeight="1" x14ac:dyDescent="0.25">
      <c r="B2" s="189" t="s">
        <v>2845</v>
      </c>
      <c r="C2" s="190"/>
      <c r="D2" s="190"/>
      <c r="E2" s="190"/>
      <c r="F2" s="190"/>
      <c r="G2" s="190"/>
      <c r="H2" s="190"/>
    </row>
    <row r="4" spans="1:10" x14ac:dyDescent="0.25">
      <c r="I4" s="46" t="s">
        <v>886</v>
      </c>
      <c r="J4" s="46" t="s">
        <v>4</v>
      </c>
    </row>
    <row r="5" spans="1:10" ht="15.75" thickBot="1" x14ac:dyDescent="0.3">
      <c r="I5" s="24" t="s">
        <v>888</v>
      </c>
      <c r="J5" s="24">
        <v>512</v>
      </c>
    </row>
    <row r="6" spans="1:10" x14ac:dyDescent="0.25">
      <c r="A6" s="32" t="s">
        <v>2081</v>
      </c>
      <c r="B6" s="26" t="s">
        <v>3007</v>
      </c>
      <c r="I6" s="24" t="s">
        <v>679</v>
      </c>
      <c r="J6" s="24">
        <v>1024</v>
      </c>
    </row>
    <row r="7" spans="1:10" x14ac:dyDescent="0.25">
      <c r="A7" s="33" t="s">
        <v>131</v>
      </c>
      <c r="B7" s="28">
        <v>0</v>
      </c>
      <c r="I7" s="24" t="s">
        <v>2844</v>
      </c>
      <c r="J7" s="24">
        <v>2048</v>
      </c>
    </row>
    <row r="8" spans="1:10" ht="15.75" thickBot="1" x14ac:dyDescent="0.3">
      <c r="A8" s="34" t="s">
        <v>132</v>
      </c>
      <c r="B8" s="29">
        <f>COUNTA(B11:B69)</f>
        <v>25</v>
      </c>
    </row>
    <row r="10" spans="1:10" ht="30" x14ac:dyDescent="0.25">
      <c r="A10" s="31" t="s">
        <v>133</v>
      </c>
      <c r="B10" s="30" t="s">
        <v>134</v>
      </c>
      <c r="C10" s="31" t="s">
        <v>135</v>
      </c>
      <c r="D10" s="31" t="s">
        <v>136</v>
      </c>
      <c r="E10" s="31" t="s">
        <v>137</v>
      </c>
      <c r="F10" s="31" t="s">
        <v>2013</v>
      </c>
      <c r="G10" s="30" t="s">
        <v>139</v>
      </c>
      <c r="H10" s="30" t="s">
        <v>835</v>
      </c>
      <c r="I10" s="30" t="s">
        <v>887</v>
      </c>
      <c r="J10" s="47" t="s">
        <v>889</v>
      </c>
    </row>
    <row r="11" spans="1:10" x14ac:dyDescent="0.25">
      <c r="A11" s="35">
        <v>0</v>
      </c>
      <c r="B11" t="s">
        <v>892</v>
      </c>
      <c r="C11" s="171">
        <v>0</v>
      </c>
      <c r="D11">
        <v>128</v>
      </c>
      <c r="E11" t="s">
        <v>140</v>
      </c>
      <c r="F11">
        <v>15</v>
      </c>
      <c r="G11" t="s">
        <v>141</v>
      </c>
      <c r="H11" t="str">
        <f t="shared" ref="H11:H23" si="0">"osd" &amp; B11&amp;"_TOP"</f>
        <v>osdSystemTimerISR_TOP</v>
      </c>
      <c r="I11" t="s">
        <v>679</v>
      </c>
      <c r="J11" s="44" t="s">
        <v>679</v>
      </c>
    </row>
    <row r="12" spans="1:10" x14ac:dyDescent="0.25">
      <c r="A12" s="35">
        <v>1</v>
      </c>
      <c r="B12" t="s">
        <v>3008</v>
      </c>
      <c r="C12" s="171">
        <v>90</v>
      </c>
      <c r="D12">
        <v>128</v>
      </c>
      <c r="E12" t="s">
        <v>140</v>
      </c>
      <c r="F12">
        <v>18</v>
      </c>
      <c r="G12" t="s">
        <v>3009</v>
      </c>
      <c r="H12" t="str">
        <f t="shared" si="0"/>
        <v>osdCAN0_ISR_TOP</v>
      </c>
      <c r="I12" t="s">
        <v>679</v>
      </c>
      <c r="J12" s="44" t="s">
        <v>679</v>
      </c>
    </row>
    <row r="13" spans="1:10" x14ac:dyDescent="0.25">
      <c r="A13" s="35">
        <v>2</v>
      </c>
      <c r="B13" t="s">
        <v>3010</v>
      </c>
      <c r="C13" s="171">
        <v>680</v>
      </c>
      <c r="D13">
        <v>128</v>
      </c>
      <c r="E13" t="s">
        <v>140</v>
      </c>
      <c r="F13">
        <v>19</v>
      </c>
      <c r="G13" t="s">
        <v>3011</v>
      </c>
      <c r="H13" t="str">
        <f t="shared" si="0"/>
        <v>osdGPT_ISR_TOP</v>
      </c>
      <c r="I13" t="s">
        <v>679</v>
      </c>
      <c r="J13" s="44" t="s">
        <v>679</v>
      </c>
    </row>
    <row r="14" spans="1:10" x14ac:dyDescent="0.25">
      <c r="A14" s="35">
        <v>3</v>
      </c>
      <c r="B14" t="s">
        <v>3012</v>
      </c>
      <c r="C14" s="171">
        <v>12</v>
      </c>
      <c r="D14">
        <v>128</v>
      </c>
      <c r="E14" t="s">
        <v>140</v>
      </c>
      <c r="F14">
        <v>20</v>
      </c>
      <c r="G14" t="s">
        <v>3013</v>
      </c>
      <c r="H14" t="str">
        <f t="shared" si="0"/>
        <v>osdBACKUP_TOP</v>
      </c>
      <c r="I14" t="s">
        <v>679</v>
      </c>
      <c r="J14" s="44" t="s">
        <v>679</v>
      </c>
    </row>
    <row r="15" spans="1:10" x14ac:dyDescent="0.25">
      <c r="A15" s="35">
        <v>4</v>
      </c>
      <c r="B15" t="s">
        <v>3014</v>
      </c>
      <c r="C15" s="171">
        <v>135</v>
      </c>
      <c r="D15">
        <v>128</v>
      </c>
      <c r="E15" t="s">
        <v>140</v>
      </c>
      <c r="F15">
        <v>21</v>
      </c>
      <c r="G15" t="s">
        <v>3015</v>
      </c>
      <c r="H15" t="str">
        <f t="shared" si="0"/>
        <v>osdSCB1_TOP</v>
      </c>
      <c r="I15" t="s">
        <v>679</v>
      </c>
      <c r="J15" s="44" t="s">
        <v>679</v>
      </c>
    </row>
    <row r="16" spans="1:10" x14ac:dyDescent="0.25">
      <c r="A16" s="35">
        <v>5</v>
      </c>
      <c r="B16" t="s">
        <v>3016</v>
      </c>
      <c r="C16" s="35">
        <v>472</v>
      </c>
      <c r="D16">
        <v>128</v>
      </c>
      <c r="E16" t="s">
        <v>140</v>
      </c>
      <c r="F16">
        <v>22</v>
      </c>
      <c r="G16" t="s">
        <v>3017</v>
      </c>
      <c r="H16" t="str">
        <f t="shared" si="0"/>
        <v>osdPDMA48_TOP</v>
      </c>
      <c r="I16" t="s">
        <v>679</v>
      </c>
      <c r="J16" s="44" t="s">
        <v>679</v>
      </c>
    </row>
    <row r="17" spans="1:10" x14ac:dyDescent="0.25">
      <c r="A17" s="35">
        <v>6</v>
      </c>
      <c r="B17" t="s">
        <v>3018</v>
      </c>
      <c r="C17" s="35">
        <v>473</v>
      </c>
      <c r="D17">
        <v>128</v>
      </c>
      <c r="E17" t="s">
        <v>140</v>
      </c>
      <c r="F17">
        <v>22</v>
      </c>
      <c r="G17" t="s">
        <v>3019</v>
      </c>
      <c r="H17" t="str">
        <f t="shared" si="0"/>
        <v>osdPDMA49_TOP</v>
      </c>
      <c r="I17" t="s">
        <v>679</v>
      </c>
      <c r="J17" s="44" t="s">
        <v>679</v>
      </c>
    </row>
    <row r="18" spans="1:10" x14ac:dyDescent="0.25">
      <c r="A18" s="35">
        <v>7</v>
      </c>
      <c r="B18" t="s">
        <v>3020</v>
      </c>
      <c r="C18" s="27">
        <v>474</v>
      </c>
      <c r="D18">
        <v>128</v>
      </c>
      <c r="E18" t="s">
        <v>140</v>
      </c>
      <c r="F18">
        <v>22</v>
      </c>
      <c r="G18" t="s">
        <v>3021</v>
      </c>
      <c r="H18" t="str">
        <f t="shared" si="0"/>
        <v>osdPDMA50_TOP</v>
      </c>
      <c r="I18" t="s">
        <v>679</v>
      </c>
      <c r="J18" s="44" t="s">
        <v>679</v>
      </c>
    </row>
    <row r="19" spans="1:10" x14ac:dyDescent="0.25">
      <c r="A19" s="35">
        <v>8</v>
      </c>
      <c r="B19" t="s">
        <v>3022</v>
      </c>
      <c r="C19" s="27">
        <v>475</v>
      </c>
      <c r="D19">
        <v>128</v>
      </c>
      <c r="E19" t="s">
        <v>140</v>
      </c>
      <c r="F19">
        <v>22</v>
      </c>
      <c r="G19" t="s">
        <v>3023</v>
      </c>
      <c r="H19" t="str">
        <f t="shared" si="0"/>
        <v>osdPDMA51_TOP</v>
      </c>
      <c r="I19" t="s">
        <v>679</v>
      </c>
      <c r="J19" s="44" t="s">
        <v>679</v>
      </c>
    </row>
    <row r="20" spans="1:10" x14ac:dyDescent="0.25">
      <c r="A20" s="35">
        <v>9</v>
      </c>
      <c r="B20" t="s">
        <v>3024</v>
      </c>
      <c r="C20" s="27">
        <v>476</v>
      </c>
      <c r="D20">
        <v>128</v>
      </c>
      <c r="E20" t="s">
        <v>140</v>
      </c>
      <c r="F20">
        <v>22</v>
      </c>
      <c r="G20" t="s">
        <v>3025</v>
      </c>
      <c r="H20" t="str">
        <f t="shared" si="0"/>
        <v>osdPDMA52_TOP</v>
      </c>
      <c r="I20" t="s">
        <v>679</v>
      </c>
      <c r="J20" s="44" t="s">
        <v>679</v>
      </c>
    </row>
    <row r="21" spans="1:10" x14ac:dyDescent="0.25">
      <c r="A21" s="27">
        <v>10</v>
      </c>
      <c r="B21" t="s">
        <v>3026</v>
      </c>
      <c r="C21" s="27">
        <v>6</v>
      </c>
      <c r="D21">
        <v>128</v>
      </c>
      <c r="E21" t="s">
        <v>140</v>
      </c>
      <c r="F21">
        <v>22</v>
      </c>
      <c r="G21" t="s">
        <v>3027</v>
      </c>
      <c r="H21" t="str">
        <f t="shared" si="0"/>
        <v>osdcpuss_interrupts_ipc_6_IRQn_TOP</v>
      </c>
      <c r="I21" t="s">
        <v>679</v>
      </c>
      <c r="J21" s="44" t="s">
        <v>679</v>
      </c>
    </row>
    <row r="22" spans="1:10" x14ac:dyDescent="0.25">
      <c r="A22" s="27">
        <v>11</v>
      </c>
      <c r="B22" t="s">
        <v>3028</v>
      </c>
      <c r="C22" s="27">
        <v>150</v>
      </c>
      <c r="D22">
        <v>128</v>
      </c>
      <c r="E22" t="s">
        <v>140</v>
      </c>
      <c r="F22">
        <v>22</v>
      </c>
      <c r="G22" t="s">
        <v>3029</v>
      </c>
      <c r="H22" t="str">
        <f t="shared" si="0"/>
        <v>osdISR_GFX2D_TOP</v>
      </c>
      <c r="I22" t="s">
        <v>679</v>
      </c>
      <c r="J22" s="44" t="s">
        <v>679</v>
      </c>
    </row>
    <row r="23" spans="1:10" x14ac:dyDescent="0.25">
      <c r="A23" s="35">
        <v>12</v>
      </c>
      <c r="B23" t="s">
        <v>3030</v>
      </c>
      <c r="C23" s="35">
        <v>152</v>
      </c>
      <c r="D23">
        <v>128</v>
      </c>
      <c r="E23" t="s">
        <v>140</v>
      </c>
      <c r="F23">
        <v>22</v>
      </c>
      <c r="G23" t="s">
        <v>3031</v>
      </c>
      <c r="H23" t="str">
        <f t="shared" si="0"/>
        <v>osdISR_VIDEOIO_0_TOP</v>
      </c>
      <c r="I23" t="s">
        <v>679</v>
      </c>
      <c r="J23" s="44" t="s">
        <v>679</v>
      </c>
    </row>
    <row r="24" spans="1:10" ht="16.5" x14ac:dyDescent="0.25">
      <c r="A24" s="35">
        <v>13</v>
      </c>
      <c r="B24" s="172" t="s">
        <v>3032</v>
      </c>
      <c r="C24" s="27">
        <v>153</v>
      </c>
      <c r="D24" s="107">
        <v>128</v>
      </c>
      <c r="E24" t="s">
        <v>140</v>
      </c>
      <c r="F24">
        <v>22</v>
      </c>
      <c r="G24" s="172" t="s">
        <v>3033</v>
      </c>
      <c r="H24" t="str">
        <f>"osd" &amp; B24&amp;"_TOP"</f>
        <v>osdISR_VIDEOIO_1_TOP</v>
      </c>
      <c r="I24" t="s">
        <v>679</v>
      </c>
      <c r="J24" s="44" t="s">
        <v>679</v>
      </c>
    </row>
    <row r="25" spans="1:10" x14ac:dyDescent="0.25">
      <c r="A25" s="35">
        <v>14</v>
      </c>
      <c r="B25" t="s">
        <v>3034</v>
      </c>
      <c r="C25" s="27">
        <v>685</v>
      </c>
      <c r="D25" s="107">
        <v>128</v>
      </c>
      <c r="E25" t="s">
        <v>140</v>
      </c>
      <c r="F25" s="107">
        <v>16</v>
      </c>
      <c r="G25" t="s">
        <v>3035</v>
      </c>
      <c r="H25" t="str">
        <f t="shared" ref="H25:H35" si="1">"osd" &amp; B25&amp;"_TOP"</f>
        <v>osdISR_IMMO_TIMER1_TOP</v>
      </c>
      <c r="I25" t="s">
        <v>679</v>
      </c>
      <c r="J25" s="44" t="s">
        <v>679</v>
      </c>
    </row>
    <row r="26" spans="1:10" x14ac:dyDescent="0.25">
      <c r="A26" s="27">
        <v>15</v>
      </c>
      <c r="B26" t="s">
        <v>3036</v>
      </c>
      <c r="C26" s="27">
        <v>686</v>
      </c>
      <c r="D26" s="107">
        <v>128</v>
      </c>
      <c r="E26" t="s">
        <v>140</v>
      </c>
      <c r="F26" s="107">
        <v>16</v>
      </c>
      <c r="G26" t="s">
        <v>3037</v>
      </c>
      <c r="H26" t="str">
        <f t="shared" si="1"/>
        <v>osdISR_IMMO_TIMER2_TOP</v>
      </c>
      <c r="I26" t="s">
        <v>679</v>
      </c>
      <c r="J26" s="44" t="s">
        <v>679</v>
      </c>
    </row>
    <row r="27" spans="1:10" x14ac:dyDescent="0.25">
      <c r="A27" s="27">
        <v>16</v>
      </c>
      <c r="B27" t="s">
        <v>3038</v>
      </c>
      <c r="C27" s="27">
        <v>573</v>
      </c>
      <c r="D27" s="107">
        <v>128</v>
      </c>
      <c r="E27" t="s">
        <v>140</v>
      </c>
      <c r="F27" s="107">
        <v>16</v>
      </c>
      <c r="G27" t="s">
        <v>3039</v>
      </c>
      <c r="H27" t="str">
        <f t="shared" si="1"/>
        <v>osdISR_IMMO_ICU1_TOP</v>
      </c>
      <c r="I27" t="s">
        <v>679</v>
      </c>
      <c r="J27" s="44" t="s">
        <v>679</v>
      </c>
    </row>
    <row r="28" spans="1:10" x14ac:dyDescent="0.25">
      <c r="A28" s="35">
        <v>17</v>
      </c>
      <c r="B28" t="s">
        <v>3040</v>
      </c>
      <c r="C28" s="27">
        <v>318</v>
      </c>
      <c r="D28" s="107">
        <v>128</v>
      </c>
      <c r="E28" t="s">
        <v>140</v>
      </c>
      <c r="F28" s="107">
        <v>16</v>
      </c>
      <c r="G28" t="s">
        <v>3041</v>
      </c>
      <c r="H28" t="str">
        <f t="shared" si="1"/>
        <v>osdISR_PDMA22_TOP</v>
      </c>
      <c r="I28" t="s">
        <v>679</v>
      </c>
      <c r="J28" s="44" t="s">
        <v>679</v>
      </c>
    </row>
    <row r="29" spans="1:10" x14ac:dyDescent="0.25">
      <c r="A29" s="27">
        <v>18</v>
      </c>
      <c r="B29" t="s">
        <v>3042</v>
      </c>
      <c r="C29" s="27">
        <v>289</v>
      </c>
      <c r="D29" s="107">
        <v>128</v>
      </c>
      <c r="E29" t="s">
        <v>140</v>
      </c>
      <c r="F29" s="107">
        <v>16</v>
      </c>
      <c r="G29" t="s">
        <v>3043</v>
      </c>
      <c r="H29" t="str">
        <f t="shared" si="1"/>
        <v>osdISR_MDMA1_TOP</v>
      </c>
      <c r="I29" t="s">
        <v>679</v>
      </c>
      <c r="J29" s="44" t="s">
        <v>679</v>
      </c>
    </row>
    <row r="30" spans="1:10" x14ac:dyDescent="0.25">
      <c r="A30" s="27">
        <v>19</v>
      </c>
      <c r="B30" t="s">
        <v>3044</v>
      </c>
      <c r="C30" s="27">
        <v>290</v>
      </c>
      <c r="D30" s="107">
        <v>128</v>
      </c>
      <c r="E30" t="s">
        <v>140</v>
      </c>
      <c r="F30" s="107">
        <v>16</v>
      </c>
      <c r="G30" t="s">
        <v>3045</v>
      </c>
      <c r="H30" t="str">
        <f t="shared" si="1"/>
        <v>osdISR_MDMA2_TOP</v>
      </c>
      <c r="I30" t="s">
        <v>679</v>
      </c>
      <c r="J30" s="44" t="s">
        <v>679</v>
      </c>
    </row>
    <row r="31" spans="1:10" x14ac:dyDescent="0.25">
      <c r="A31" s="27">
        <v>20</v>
      </c>
      <c r="B31" t="s">
        <v>3046</v>
      </c>
      <c r="C31" s="27">
        <v>687</v>
      </c>
      <c r="D31" s="107">
        <v>128</v>
      </c>
      <c r="E31" t="s">
        <v>140</v>
      </c>
      <c r="F31" s="107">
        <v>17</v>
      </c>
      <c r="G31" t="s">
        <v>3047</v>
      </c>
      <c r="H31" t="str">
        <f t="shared" si="1"/>
        <v>osdISR_IMMO_1MS_TASK_TOP</v>
      </c>
      <c r="I31" t="s">
        <v>679</v>
      </c>
      <c r="J31" s="44" t="s">
        <v>679</v>
      </c>
    </row>
    <row r="32" spans="1:10" x14ac:dyDescent="0.25">
      <c r="A32" s="27">
        <v>21</v>
      </c>
      <c r="B32" t="s">
        <v>3048</v>
      </c>
      <c r="C32" s="27">
        <v>688</v>
      </c>
      <c r="D32" s="107">
        <v>128</v>
      </c>
      <c r="E32" t="s">
        <v>140</v>
      </c>
      <c r="F32" s="107">
        <v>17</v>
      </c>
      <c r="G32" t="s">
        <v>3049</v>
      </c>
      <c r="H32" t="str">
        <f t="shared" si="1"/>
        <v>osdISR_IMMO_5MS_TASK_TOP</v>
      </c>
      <c r="I32" t="s">
        <v>679</v>
      </c>
      <c r="J32" s="44" t="s">
        <v>679</v>
      </c>
    </row>
    <row r="33" spans="1:10" x14ac:dyDescent="0.25">
      <c r="A33" s="27">
        <v>22</v>
      </c>
      <c r="B33" t="s">
        <v>3050</v>
      </c>
      <c r="C33" s="27">
        <v>25</v>
      </c>
      <c r="D33" s="107">
        <v>128</v>
      </c>
      <c r="E33" t="s">
        <v>140</v>
      </c>
      <c r="F33" s="107">
        <v>18</v>
      </c>
      <c r="G33" t="s">
        <v>3051</v>
      </c>
      <c r="H33" t="str">
        <f t="shared" si="1"/>
        <v>osdCAN0_WAKEUP_ISR_TOP</v>
      </c>
      <c r="I33" t="s">
        <v>679</v>
      </c>
      <c r="J33" s="44" t="s">
        <v>679</v>
      </c>
    </row>
    <row r="34" spans="1:10" x14ac:dyDescent="0.25">
      <c r="A34" s="27">
        <v>23</v>
      </c>
      <c r="B34" t="s">
        <v>3052</v>
      </c>
      <c r="C34" s="27">
        <v>684</v>
      </c>
      <c r="D34" s="107">
        <v>128</v>
      </c>
      <c r="E34" s="173" t="s">
        <v>140</v>
      </c>
      <c r="F34" s="107">
        <v>19</v>
      </c>
      <c r="G34" t="s">
        <v>3053</v>
      </c>
      <c r="H34" t="str">
        <f t="shared" si="1"/>
        <v>osdGPT_ISR_1_25MS_TOP</v>
      </c>
      <c r="I34" t="s">
        <v>679</v>
      </c>
      <c r="J34" t="s">
        <v>679</v>
      </c>
    </row>
    <row r="35" spans="1:10" x14ac:dyDescent="0.25">
      <c r="A35" s="27">
        <v>24</v>
      </c>
      <c r="B35" t="s">
        <v>3342</v>
      </c>
      <c r="C35" s="27">
        <v>155</v>
      </c>
      <c r="D35" s="107">
        <v>128</v>
      </c>
      <c r="E35" s="173" t="s">
        <v>140</v>
      </c>
      <c r="F35" s="107">
        <v>22</v>
      </c>
      <c r="G35" t="s">
        <v>3343</v>
      </c>
      <c r="H35" t="str">
        <f t="shared" si="1"/>
        <v>osdISR_VIDEOIO_1_SAFETY_TOP</v>
      </c>
      <c r="I35" t="s">
        <v>679</v>
      </c>
      <c r="J35" t="s">
        <v>679</v>
      </c>
    </row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</sheetData>
  <mergeCells count="1">
    <mergeCell ref="B2:H2"/>
  </mergeCells>
  <phoneticPr fontId="22" type="noConversion"/>
  <dataValidations count="5">
    <dataValidation allowBlank="1" showErrorMessage="1" errorTitle="Invalid Configuration" error="Valid ISR Category are_x000a_Cat1_x000a_Cat2" promptTitle="Cat1 Warning" prompt="Cat1 Interrupts are not permitted to call Os APIs from the ISRs" sqref="E6:E10" xr:uid="{00000000-0002-0000-0900-000000000000}"/>
    <dataValidation allowBlank="1" showInputMessage="1" showErrorMessage="1" error="Interrupt Nesting not supported as of now." sqref="G10 F11:F24" xr:uid="{00000000-0002-0000-0900-000001000000}"/>
    <dataValidation type="list" allowBlank="1" showInputMessage="1" showErrorMessage="1" sqref="B6" xr:uid="{00000000-0002-0000-0900-000002000000}">
      <formula1>"iMx8,Traveo I, Traveo II BE, Traveo II BH, Traveo II C,RH850D1x,RH850F1x,IMXRT117x"</formula1>
    </dataValidation>
    <dataValidation type="list" allowBlank="1" showInputMessage="1" showErrorMessage="1" errorTitle="Invalid Configuration" error="Valid ISR Category are_x000a_Cat1_x000a_Cat2" promptTitle="Cat1 Warning" prompt="Cat1 Interrupts are not permitted to call Os APIs from the ISRs" sqref="E11:E33" xr:uid="{60CC5B22-EFBF-460E-B9C7-818A9071928B}">
      <formula1>"Cat1,Cat2"</formula1>
    </dataValidation>
    <dataValidation type="list" allowBlank="1" showInputMessage="1" showErrorMessage="1" sqref="I11:J69" xr:uid="{00000000-0002-0000-0900-000004000000}">
      <formula1>$I$5:$I$8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>
    <tabColor theme="5" tint="0.39997558519241921"/>
  </sheetPr>
  <dimension ref="A1:G200"/>
  <sheetViews>
    <sheetView topLeftCell="A100" workbookViewId="0">
      <selection activeCell="G108" sqref="G108"/>
    </sheetView>
  </sheetViews>
  <sheetFormatPr defaultColWidth="9.28515625" defaultRowHeight="15" x14ac:dyDescent="0.25"/>
  <cols>
    <col min="1" max="1" width="9.28515625" style="4"/>
    <col min="2" max="2" width="41.28515625" style="4" customWidth="1"/>
    <col min="3" max="3" width="34.42578125" style="4" bestFit="1" customWidth="1"/>
    <col min="4" max="4" width="56.42578125" style="4" customWidth="1"/>
    <col min="5" max="5" width="18" style="4" customWidth="1"/>
    <col min="6" max="6" width="71.5703125" style="59" bestFit="1" customWidth="1"/>
    <col min="7" max="7" width="9.5703125" style="4" bestFit="1" customWidth="1"/>
    <col min="8" max="16384" width="9.28515625" style="4"/>
  </cols>
  <sheetData>
    <row r="1" spans="1:6" x14ac:dyDescent="0.25">
      <c r="B1" s="51" t="s">
        <v>1183</v>
      </c>
      <c r="C1" s="108" t="s">
        <v>2832</v>
      </c>
    </row>
    <row r="2" spans="1:6" ht="15" customHeight="1" x14ac:dyDescent="0.25"/>
    <row r="3" spans="1:6" ht="15" customHeight="1" x14ac:dyDescent="0.25"/>
    <row r="4" spans="1:6" ht="15" customHeight="1" x14ac:dyDescent="0.25"/>
    <row r="6" spans="1:6" x14ac:dyDescent="0.25">
      <c r="B6" s="43" t="s">
        <v>833</v>
      </c>
    </row>
    <row r="7" spans="1:6" x14ac:dyDescent="0.25">
      <c r="B7" s="43" t="s">
        <v>834</v>
      </c>
    </row>
    <row r="12" spans="1:6" x14ac:dyDescent="0.25">
      <c r="A12" s="50" t="s">
        <v>29</v>
      </c>
      <c r="B12" s="50" t="s">
        <v>33</v>
      </c>
      <c r="C12" s="50" t="s">
        <v>30</v>
      </c>
      <c r="D12" s="50" t="s">
        <v>31</v>
      </c>
      <c r="E12" s="50" t="s">
        <v>32</v>
      </c>
      <c r="F12" s="60" t="s">
        <v>697</v>
      </c>
    </row>
    <row r="13" spans="1:6" x14ac:dyDescent="0.25">
      <c r="A13" s="5">
        <v>0</v>
      </c>
      <c r="B13" s="24" t="s">
        <v>2544</v>
      </c>
      <c r="C13" s="24" t="s">
        <v>36</v>
      </c>
      <c r="D13" s="24" t="s">
        <v>2546</v>
      </c>
      <c r="E13" s="5" t="s">
        <v>34</v>
      </c>
      <c r="F13" s="174" t="s">
        <v>2547</v>
      </c>
    </row>
    <row r="14" spans="1:6" x14ac:dyDescent="0.25">
      <c r="A14" s="5">
        <v>1</v>
      </c>
      <c r="B14" s="24" t="s">
        <v>2997</v>
      </c>
      <c r="C14" s="24" t="s">
        <v>36</v>
      </c>
      <c r="D14" s="24" t="s">
        <v>3345</v>
      </c>
      <c r="E14" s="5" t="s">
        <v>34</v>
      </c>
      <c r="F14" s="174" t="s">
        <v>3346</v>
      </c>
    </row>
    <row r="15" spans="1:6" x14ac:dyDescent="0.25">
      <c r="A15" s="5">
        <v>2</v>
      </c>
      <c r="B15" s="24" t="s">
        <v>2997</v>
      </c>
      <c r="C15" s="24" t="s">
        <v>36</v>
      </c>
      <c r="D15" s="24" t="s">
        <v>3347</v>
      </c>
      <c r="E15" s="5" t="s">
        <v>34</v>
      </c>
      <c r="F15" s="174" t="s">
        <v>3348</v>
      </c>
    </row>
    <row r="16" spans="1:6" x14ac:dyDescent="0.25">
      <c r="A16" s="5">
        <v>3</v>
      </c>
      <c r="B16" s="24" t="s">
        <v>2992</v>
      </c>
      <c r="C16" s="24" t="s">
        <v>36</v>
      </c>
      <c r="D16" s="24" t="s">
        <v>3349</v>
      </c>
      <c r="E16" s="5" t="s">
        <v>34</v>
      </c>
      <c r="F16" s="174" t="s">
        <v>3350</v>
      </c>
    </row>
    <row r="17" spans="1:6" x14ac:dyDescent="0.25">
      <c r="A17" s="5">
        <v>4</v>
      </c>
      <c r="B17" s="24" t="s">
        <v>2992</v>
      </c>
      <c r="C17" s="24" t="s">
        <v>36</v>
      </c>
      <c r="D17" s="24" t="s">
        <v>3351</v>
      </c>
      <c r="E17" s="5" t="s">
        <v>34</v>
      </c>
      <c r="F17" s="174" t="s">
        <v>3352</v>
      </c>
    </row>
    <row r="18" spans="1:6" x14ac:dyDescent="0.25">
      <c r="A18" s="5">
        <v>5</v>
      </c>
      <c r="B18" s="24" t="s">
        <v>2775</v>
      </c>
      <c r="C18" s="24" t="s">
        <v>36</v>
      </c>
      <c r="D18" s="24" t="s">
        <v>2853</v>
      </c>
      <c r="E18" s="5" t="s">
        <v>34</v>
      </c>
      <c r="F18" s="174" t="s">
        <v>2854</v>
      </c>
    </row>
    <row r="19" spans="1:6" x14ac:dyDescent="0.25">
      <c r="A19" s="5">
        <v>6</v>
      </c>
      <c r="B19" s="24" t="s">
        <v>2775</v>
      </c>
      <c r="C19" s="24" t="s">
        <v>36</v>
      </c>
      <c r="D19" s="24" t="s">
        <v>3054</v>
      </c>
      <c r="E19" s="5" t="s">
        <v>34</v>
      </c>
      <c r="F19" s="174" t="s">
        <v>3055</v>
      </c>
    </row>
    <row r="20" spans="1:6" x14ac:dyDescent="0.25">
      <c r="A20" s="5">
        <v>7</v>
      </c>
      <c r="B20" s="24" t="s">
        <v>2777</v>
      </c>
      <c r="C20" s="24" t="s">
        <v>36</v>
      </c>
      <c r="D20" s="24" t="s">
        <v>3056</v>
      </c>
      <c r="E20" s="5" t="s">
        <v>34</v>
      </c>
      <c r="F20" s="174" t="s">
        <v>3057</v>
      </c>
    </row>
    <row r="21" spans="1:6" x14ac:dyDescent="0.25">
      <c r="A21" s="5">
        <v>8</v>
      </c>
      <c r="B21" s="103" t="s">
        <v>2781</v>
      </c>
      <c r="C21" s="24" t="s">
        <v>36</v>
      </c>
      <c r="D21" s="24" t="s">
        <v>3353</v>
      </c>
      <c r="E21" s="5" t="s">
        <v>34</v>
      </c>
      <c r="F21" s="175" t="s">
        <v>3354</v>
      </c>
    </row>
    <row r="22" spans="1:6" x14ac:dyDescent="0.25">
      <c r="A22" s="5">
        <v>9</v>
      </c>
      <c r="B22" s="24" t="s">
        <v>2777</v>
      </c>
      <c r="C22" s="24" t="s">
        <v>36</v>
      </c>
      <c r="D22" s="24" t="s">
        <v>3058</v>
      </c>
      <c r="E22" s="5" t="s">
        <v>34</v>
      </c>
      <c r="F22" s="175" t="s">
        <v>3059</v>
      </c>
    </row>
    <row r="23" spans="1:6" x14ac:dyDescent="0.25">
      <c r="A23" s="5">
        <v>10</v>
      </c>
      <c r="B23" s="103" t="s">
        <v>2777</v>
      </c>
      <c r="C23" s="24" t="s">
        <v>36</v>
      </c>
      <c r="D23" s="176" t="s">
        <v>3060</v>
      </c>
      <c r="E23" s="5" t="s">
        <v>34</v>
      </c>
      <c r="F23" s="175" t="s">
        <v>3061</v>
      </c>
    </row>
    <row r="24" spans="1:6" x14ac:dyDescent="0.25">
      <c r="A24" s="5">
        <v>11</v>
      </c>
      <c r="B24" s="103" t="s">
        <v>2775</v>
      </c>
      <c r="C24" s="24" t="s">
        <v>36</v>
      </c>
      <c r="D24" s="4" t="s">
        <v>3062</v>
      </c>
      <c r="E24" s="5" t="s">
        <v>34</v>
      </c>
      <c r="F24" s="175" t="s">
        <v>3063</v>
      </c>
    </row>
    <row r="25" spans="1:6" x14ac:dyDescent="0.25">
      <c r="A25" s="5">
        <v>12</v>
      </c>
      <c r="B25" s="24" t="s">
        <v>2901</v>
      </c>
      <c r="C25" s="24" t="s">
        <v>36</v>
      </c>
      <c r="D25" s="24" t="s">
        <v>3064</v>
      </c>
      <c r="E25" s="5" t="s">
        <v>34</v>
      </c>
      <c r="F25" s="175" t="s">
        <v>3065</v>
      </c>
    </row>
    <row r="26" spans="1:6" x14ac:dyDescent="0.25">
      <c r="A26" s="5">
        <v>13</v>
      </c>
      <c r="B26" s="24" t="s">
        <v>2992</v>
      </c>
      <c r="C26" s="24" t="s">
        <v>36</v>
      </c>
      <c r="D26" s="24" t="s">
        <v>2855</v>
      </c>
      <c r="E26" s="5" t="s">
        <v>34</v>
      </c>
      <c r="F26" s="175" t="s">
        <v>2856</v>
      </c>
    </row>
    <row r="27" spans="1:6" x14ac:dyDescent="0.25">
      <c r="A27" s="5">
        <v>14</v>
      </c>
      <c r="B27" s="24" t="s">
        <v>2992</v>
      </c>
      <c r="C27" s="24" t="s">
        <v>36</v>
      </c>
      <c r="D27" s="24" t="s">
        <v>3355</v>
      </c>
      <c r="E27" s="5" t="s">
        <v>34</v>
      </c>
      <c r="F27" s="175" t="s">
        <v>3356</v>
      </c>
    </row>
    <row r="28" spans="1:6" x14ac:dyDescent="0.25">
      <c r="A28" s="5">
        <v>15</v>
      </c>
      <c r="B28" s="24" t="s">
        <v>2997</v>
      </c>
      <c r="C28" s="24" t="s">
        <v>36</v>
      </c>
      <c r="D28" s="103" t="s">
        <v>3357</v>
      </c>
      <c r="E28" s="5" t="s">
        <v>34</v>
      </c>
      <c r="F28" s="175" t="s">
        <v>3358</v>
      </c>
    </row>
    <row r="29" spans="1:6" x14ac:dyDescent="0.25">
      <c r="A29" s="5">
        <v>16</v>
      </c>
      <c r="B29" s="24" t="s">
        <v>2997</v>
      </c>
      <c r="C29" s="24" t="s">
        <v>36</v>
      </c>
      <c r="D29" s="24" t="s">
        <v>3359</v>
      </c>
      <c r="E29" s="5" t="s">
        <v>34</v>
      </c>
      <c r="F29" s="175" t="s">
        <v>3360</v>
      </c>
    </row>
    <row r="30" spans="1:6" x14ac:dyDescent="0.25">
      <c r="A30" s="5">
        <v>17</v>
      </c>
      <c r="B30" s="24" t="s">
        <v>2777</v>
      </c>
      <c r="C30" s="24" t="s">
        <v>36</v>
      </c>
      <c r="D30" s="24" t="s">
        <v>3066</v>
      </c>
      <c r="E30" s="5" t="s">
        <v>34</v>
      </c>
      <c r="F30" s="175" t="s">
        <v>3067</v>
      </c>
    </row>
    <row r="31" spans="1:6" x14ac:dyDescent="0.25">
      <c r="A31" s="5">
        <v>18</v>
      </c>
      <c r="B31" s="24" t="s">
        <v>2777</v>
      </c>
      <c r="C31" s="24" t="s">
        <v>36</v>
      </c>
      <c r="D31" s="24" t="s">
        <v>3068</v>
      </c>
      <c r="E31" s="5" t="s">
        <v>34</v>
      </c>
      <c r="F31" s="175" t="s">
        <v>3069</v>
      </c>
    </row>
    <row r="32" spans="1:6" x14ac:dyDescent="0.25">
      <c r="A32" s="5">
        <v>19</v>
      </c>
      <c r="B32" s="24" t="s">
        <v>2777</v>
      </c>
      <c r="C32" s="24" t="s">
        <v>36</v>
      </c>
      <c r="D32" s="24" t="s">
        <v>3070</v>
      </c>
      <c r="E32" s="5" t="s">
        <v>34</v>
      </c>
      <c r="F32" s="175" t="s">
        <v>3071</v>
      </c>
    </row>
    <row r="33" spans="1:6" x14ac:dyDescent="0.25">
      <c r="A33" s="5">
        <v>20</v>
      </c>
      <c r="B33" s="24" t="s">
        <v>2777</v>
      </c>
      <c r="C33" s="24" t="s">
        <v>36</v>
      </c>
      <c r="D33" s="24" t="s">
        <v>3072</v>
      </c>
      <c r="E33" s="5" t="s">
        <v>34</v>
      </c>
      <c r="F33" s="175" t="s">
        <v>3073</v>
      </c>
    </row>
    <row r="34" spans="1:6" x14ac:dyDescent="0.25">
      <c r="A34" s="5">
        <v>21</v>
      </c>
      <c r="B34" s="24" t="s">
        <v>2783</v>
      </c>
      <c r="C34" s="24" t="s">
        <v>36</v>
      </c>
      <c r="D34" s="24" t="s">
        <v>3074</v>
      </c>
      <c r="E34" s="5" t="s">
        <v>34</v>
      </c>
      <c r="F34" s="175" t="s">
        <v>3075</v>
      </c>
    </row>
    <row r="35" spans="1:6" x14ac:dyDescent="0.25">
      <c r="A35" s="5">
        <v>22</v>
      </c>
      <c r="B35" s="24" t="s">
        <v>2777</v>
      </c>
      <c r="C35" s="24" t="s">
        <v>36</v>
      </c>
      <c r="D35" s="24" t="s">
        <v>3076</v>
      </c>
      <c r="E35" s="5" t="s">
        <v>34</v>
      </c>
      <c r="F35" s="175" t="s">
        <v>3077</v>
      </c>
    </row>
    <row r="36" spans="1:6" x14ac:dyDescent="0.25">
      <c r="A36" s="5">
        <v>23</v>
      </c>
      <c r="B36" s="24" t="s">
        <v>2777</v>
      </c>
      <c r="C36" s="24" t="s">
        <v>36</v>
      </c>
      <c r="D36" s="24" t="s">
        <v>3078</v>
      </c>
      <c r="E36" s="5" t="s">
        <v>34</v>
      </c>
      <c r="F36" s="175" t="s">
        <v>3079</v>
      </c>
    </row>
    <row r="37" spans="1:6" x14ac:dyDescent="0.25">
      <c r="A37" s="5">
        <v>24</v>
      </c>
      <c r="B37" s="24" t="s">
        <v>2976</v>
      </c>
      <c r="C37" s="24" t="s">
        <v>36</v>
      </c>
      <c r="D37" s="24" t="s">
        <v>3080</v>
      </c>
      <c r="E37" s="5" t="s">
        <v>34</v>
      </c>
      <c r="F37" s="175" t="s">
        <v>3081</v>
      </c>
    </row>
    <row r="38" spans="1:6" x14ac:dyDescent="0.25">
      <c r="A38" s="5">
        <v>25</v>
      </c>
      <c r="B38" s="24" t="s">
        <v>2781</v>
      </c>
      <c r="C38" s="24" t="s">
        <v>36</v>
      </c>
      <c r="D38" s="24" t="s">
        <v>3361</v>
      </c>
      <c r="E38" s="5" t="s">
        <v>34</v>
      </c>
      <c r="F38" s="175" t="s">
        <v>3362</v>
      </c>
    </row>
    <row r="39" spans="1:6" x14ac:dyDescent="0.25">
      <c r="A39" s="5">
        <v>26</v>
      </c>
      <c r="B39" s="24" t="s">
        <v>2781</v>
      </c>
      <c r="C39" s="24" t="s">
        <v>36</v>
      </c>
      <c r="D39" s="24" t="s">
        <v>3363</v>
      </c>
      <c r="E39" s="5" t="s">
        <v>34</v>
      </c>
      <c r="F39" s="175" t="s">
        <v>3364</v>
      </c>
    </row>
    <row r="40" spans="1:6" x14ac:dyDescent="0.25">
      <c r="A40" s="5">
        <v>27</v>
      </c>
      <c r="B40" s="24" t="s">
        <v>2781</v>
      </c>
      <c r="C40" s="24" t="s">
        <v>36</v>
      </c>
      <c r="D40" s="24" t="s">
        <v>3365</v>
      </c>
      <c r="E40" s="5" t="s">
        <v>34</v>
      </c>
      <c r="F40" s="175" t="s">
        <v>3366</v>
      </c>
    </row>
    <row r="41" spans="1:6" x14ac:dyDescent="0.25">
      <c r="A41" s="5">
        <v>28</v>
      </c>
      <c r="B41" s="24" t="s">
        <v>2777</v>
      </c>
      <c r="C41" s="24" t="s">
        <v>36</v>
      </c>
      <c r="D41" s="24" t="s">
        <v>3082</v>
      </c>
      <c r="E41" s="5" t="s">
        <v>34</v>
      </c>
      <c r="F41" s="175" t="s">
        <v>3083</v>
      </c>
    </row>
    <row r="42" spans="1:6" x14ac:dyDescent="0.25">
      <c r="A42" s="5">
        <v>29</v>
      </c>
      <c r="B42" s="24" t="s">
        <v>2777</v>
      </c>
      <c r="C42" s="24" t="s">
        <v>36</v>
      </c>
      <c r="D42" s="24" t="s">
        <v>3084</v>
      </c>
      <c r="E42" s="5" t="s">
        <v>34</v>
      </c>
      <c r="F42" s="175" t="s">
        <v>3085</v>
      </c>
    </row>
    <row r="43" spans="1:6" x14ac:dyDescent="0.25">
      <c r="A43" s="5">
        <v>30</v>
      </c>
      <c r="B43" s="24" t="s">
        <v>2781</v>
      </c>
      <c r="C43" s="24" t="s">
        <v>36</v>
      </c>
      <c r="D43" s="24" t="s">
        <v>3367</v>
      </c>
      <c r="E43" s="5" t="s">
        <v>34</v>
      </c>
      <c r="F43" s="175" t="s">
        <v>3368</v>
      </c>
    </row>
    <row r="44" spans="1:6" x14ac:dyDescent="0.25">
      <c r="A44" s="5">
        <v>31</v>
      </c>
      <c r="B44" s="24" t="s">
        <v>2783</v>
      </c>
      <c r="C44" s="24" t="s">
        <v>36</v>
      </c>
      <c r="D44" s="24" t="s">
        <v>3086</v>
      </c>
      <c r="E44" s="5" t="s">
        <v>34</v>
      </c>
      <c r="F44" s="175" t="s">
        <v>3087</v>
      </c>
    </row>
    <row r="45" spans="1:6" x14ac:dyDescent="0.25">
      <c r="A45" s="5">
        <v>32</v>
      </c>
      <c r="B45" s="24" t="s">
        <v>2783</v>
      </c>
      <c r="C45" s="24" t="s">
        <v>36</v>
      </c>
      <c r="D45" s="24" t="s">
        <v>3369</v>
      </c>
      <c r="E45" s="5" t="s">
        <v>34</v>
      </c>
      <c r="F45" s="175" t="s">
        <v>3370</v>
      </c>
    </row>
    <row r="46" spans="1:6" x14ac:dyDescent="0.25">
      <c r="A46" s="5">
        <v>33</v>
      </c>
      <c r="B46" s="24" t="s">
        <v>2777</v>
      </c>
      <c r="C46" s="24" t="s">
        <v>36</v>
      </c>
      <c r="D46" s="24" t="s">
        <v>3088</v>
      </c>
      <c r="E46" s="5" t="s">
        <v>34</v>
      </c>
      <c r="F46" s="175" t="s">
        <v>3089</v>
      </c>
    </row>
    <row r="47" spans="1:6" x14ac:dyDescent="0.25">
      <c r="A47" s="5">
        <v>34</v>
      </c>
      <c r="B47" s="24" t="s">
        <v>2781</v>
      </c>
      <c r="C47" s="24" t="s">
        <v>36</v>
      </c>
      <c r="D47" s="24" t="s">
        <v>3371</v>
      </c>
      <c r="E47" s="5" t="s">
        <v>34</v>
      </c>
      <c r="F47" s="175" t="s">
        <v>3372</v>
      </c>
    </row>
    <row r="48" spans="1:6" x14ac:dyDescent="0.25">
      <c r="A48" s="5">
        <v>35</v>
      </c>
      <c r="B48" s="24" t="s">
        <v>2781</v>
      </c>
      <c r="C48" s="24" t="s">
        <v>36</v>
      </c>
      <c r="D48" s="24" t="s">
        <v>3373</v>
      </c>
      <c r="E48" s="5" t="s">
        <v>34</v>
      </c>
      <c r="F48" s="175" t="s">
        <v>3374</v>
      </c>
    </row>
    <row r="49" spans="1:6" x14ac:dyDescent="0.25">
      <c r="A49" s="5">
        <v>36</v>
      </c>
      <c r="B49" s="24" t="s">
        <v>2783</v>
      </c>
      <c r="C49" s="24" t="s">
        <v>36</v>
      </c>
      <c r="D49" s="24" t="s">
        <v>3090</v>
      </c>
      <c r="E49" s="5" t="s">
        <v>34</v>
      </c>
      <c r="F49" s="175" t="s">
        <v>3091</v>
      </c>
    </row>
    <row r="50" spans="1:6" x14ac:dyDescent="0.25">
      <c r="A50" s="5">
        <v>37</v>
      </c>
      <c r="B50" s="24" t="s">
        <v>2781</v>
      </c>
      <c r="C50" s="24" t="s">
        <v>36</v>
      </c>
      <c r="D50" s="24" t="s">
        <v>3375</v>
      </c>
      <c r="E50" s="5" t="s">
        <v>34</v>
      </c>
      <c r="F50" s="175" t="s">
        <v>3376</v>
      </c>
    </row>
    <row r="51" spans="1:6" x14ac:dyDescent="0.25">
      <c r="A51" s="5">
        <v>38</v>
      </c>
      <c r="B51" s="24" t="s">
        <v>2777</v>
      </c>
      <c r="C51" s="24" t="s">
        <v>36</v>
      </c>
      <c r="D51" s="24" t="s">
        <v>3092</v>
      </c>
      <c r="E51" s="5" t="s">
        <v>34</v>
      </c>
      <c r="F51" s="175" t="s">
        <v>3093</v>
      </c>
    </row>
    <row r="52" spans="1:6" x14ac:dyDescent="0.25">
      <c r="A52" s="5">
        <v>39</v>
      </c>
      <c r="B52" s="24" t="s">
        <v>2976</v>
      </c>
      <c r="C52" s="24" t="s">
        <v>36</v>
      </c>
      <c r="D52" s="24" t="s">
        <v>3094</v>
      </c>
      <c r="E52" s="5" t="s">
        <v>34</v>
      </c>
      <c r="F52" s="175" t="s">
        <v>3095</v>
      </c>
    </row>
    <row r="53" spans="1:6" x14ac:dyDescent="0.25">
      <c r="A53" s="5">
        <v>40</v>
      </c>
      <c r="B53" s="24" t="s">
        <v>2771</v>
      </c>
      <c r="C53" s="24" t="s">
        <v>36</v>
      </c>
      <c r="D53" s="24" t="s">
        <v>2798</v>
      </c>
      <c r="E53" s="5" t="s">
        <v>34</v>
      </c>
      <c r="F53" s="175" t="s">
        <v>2797</v>
      </c>
    </row>
    <row r="54" spans="1:6" x14ac:dyDescent="0.25">
      <c r="A54" s="5">
        <v>41</v>
      </c>
      <c r="B54" s="24" t="s">
        <v>2544</v>
      </c>
      <c r="C54" s="24" t="s">
        <v>36</v>
      </c>
      <c r="D54" s="24" t="s">
        <v>3096</v>
      </c>
      <c r="E54" s="5" t="s">
        <v>34</v>
      </c>
      <c r="F54" s="175" t="s">
        <v>3097</v>
      </c>
    </row>
    <row r="55" spans="1:6" x14ac:dyDescent="0.25">
      <c r="A55" s="5">
        <v>42</v>
      </c>
      <c r="B55" s="24" t="s">
        <v>2997</v>
      </c>
      <c r="C55" s="24" t="s">
        <v>36</v>
      </c>
      <c r="D55" s="24" t="s">
        <v>3098</v>
      </c>
      <c r="E55" s="5" t="s">
        <v>34</v>
      </c>
      <c r="F55" s="175" t="s">
        <v>3099</v>
      </c>
    </row>
    <row r="56" spans="1:6" x14ac:dyDescent="0.25">
      <c r="A56" s="5">
        <v>43</v>
      </c>
      <c r="B56" s="24" t="s">
        <v>2997</v>
      </c>
      <c r="C56" s="24" t="s">
        <v>36</v>
      </c>
      <c r="D56" s="24" t="s">
        <v>3377</v>
      </c>
      <c r="E56" s="5" t="s">
        <v>34</v>
      </c>
      <c r="F56" s="175" t="s">
        <v>3378</v>
      </c>
    </row>
    <row r="57" spans="1:6" x14ac:dyDescent="0.25">
      <c r="A57" s="5">
        <v>44</v>
      </c>
      <c r="B57" s="24" t="s">
        <v>2997</v>
      </c>
      <c r="C57" s="24" t="s">
        <v>36</v>
      </c>
      <c r="D57" s="24" t="s">
        <v>3379</v>
      </c>
      <c r="E57" s="5" t="s">
        <v>34</v>
      </c>
      <c r="F57" s="175" t="s">
        <v>3380</v>
      </c>
    </row>
    <row r="58" spans="1:6" x14ac:dyDescent="0.25">
      <c r="A58" s="5">
        <v>45</v>
      </c>
      <c r="B58" s="24" t="s">
        <v>2773</v>
      </c>
      <c r="C58" s="24" t="s">
        <v>36</v>
      </c>
      <c r="D58" s="24" t="s">
        <v>3100</v>
      </c>
      <c r="E58" s="5" t="s">
        <v>34</v>
      </c>
      <c r="F58" s="175" t="s">
        <v>3101</v>
      </c>
    </row>
    <row r="59" spans="1:6" x14ac:dyDescent="0.25">
      <c r="A59" s="5">
        <v>46</v>
      </c>
      <c r="B59" s="24" t="s">
        <v>2779</v>
      </c>
      <c r="C59" s="24" t="s">
        <v>36</v>
      </c>
      <c r="D59" s="24" t="s">
        <v>3102</v>
      </c>
      <c r="E59" s="5" t="s">
        <v>34</v>
      </c>
      <c r="F59" s="175" t="s">
        <v>3103</v>
      </c>
    </row>
    <row r="60" spans="1:6" x14ac:dyDescent="0.25">
      <c r="A60" s="5">
        <v>47</v>
      </c>
      <c r="B60" s="24" t="s">
        <v>2779</v>
      </c>
      <c r="C60" s="24" t="s">
        <v>36</v>
      </c>
      <c r="D60" s="24" t="s">
        <v>3381</v>
      </c>
      <c r="E60" s="5" t="s">
        <v>34</v>
      </c>
      <c r="F60" s="175" t="s">
        <v>3382</v>
      </c>
    </row>
    <row r="61" spans="1:6" x14ac:dyDescent="0.25">
      <c r="A61" s="5">
        <v>48</v>
      </c>
      <c r="B61" s="24" t="s">
        <v>2781</v>
      </c>
      <c r="C61" s="24" t="s">
        <v>36</v>
      </c>
      <c r="D61" s="24" t="s">
        <v>3383</v>
      </c>
      <c r="E61" s="5" t="s">
        <v>34</v>
      </c>
      <c r="F61" s="175" t="s">
        <v>3384</v>
      </c>
    </row>
    <row r="62" spans="1:6" x14ac:dyDescent="0.25">
      <c r="A62" s="5">
        <v>49</v>
      </c>
      <c r="B62" s="24" t="s">
        <v>2808</v>
      </c>
      <c r="C62" s="24" t="s">
        <v>36</v>
      </c>
      <c r="D62" s="24" t="s">
        <v>3385</v>
      </c>
      <c r="E62" s="5" t="s">
        <v>34</v>
      </c>
      <c r="F62" s="175" t="s">
        <v>3386</v>
      </c>
    </row>
    <row r="63" spans="1:6" x14ac:dyDescent="0.25">
      <c r="A63" s="5">
        <v>50</v>
      </c>
      <c r="B63" s="24" t="s">
        <v>2808</v>
      </c>
      <c r="C63" s="24" t="s">
        <v>36</v>
      </c>
      <c r="D63" s="24" t="s">
        <v>3387</v>
      </c>
      <c r="E63" s="5" t="s">
        <v>34</v>
      </c>
      <c r="F63" s="175" t="s">
        <v>3388</v>
      </c>
    </row>
    <row r="64" spans="1:6" x14ac:dyDescent="0.25">
      <c r="A64" s="5">
        <v>51</v>
      </c>
      <c r="B64" s="176" t="s">
        <v>2808</v>
      </c>
      <c r="C64" s="176" t="s">
        <v>36</v>
      </c>
      <c r="D64" s="176" t="s">
        <v>3389</v>
      </c>
      <c r="E64" s="5" t="s">
        <v>34</v>
      </c>
      <c r="F64" s="175" t="s">
        <v>3390</v>
      </c>
    </row>
    <row r="65" spans="1:6" x14ac:dyDescent="0.25">
      <c r="A65" s="5">
        <v>52</v>
      </c>
      <c r="B65" s="176" t="s">
        <v>2808</v>
      </c>
      <c r="C65" s="176" t="s">
        <v>36</v>
      </c>
      <c r="D65" s="176" t="s">
        <v>3391</v>
      </c>
      <c r="E65" s="5" t="s">
        <v>34</v>
      </c>
      <c r="F65" s="175" t="s">
        <v>3392</v>
      </c>
    </row>
    <row r="66" spans="1:6" x14ac:dyDescent="0.25">
      <c r="A66" s="5">
        <v>53</v>
      </c>
      <c r="B66" s="176" t="s">
        <v>2783</v>
      </c>
      <c r="C66" s="176" t="s">
        <v>36</v>
      </c>
      <c r="D66" s="176" t="s">
        <v>3393</v>
      </c>
      <c r="E66" s="5" t="s">
        <v>34</v>
      </c>
      <c r="F66" s="175" t="s">
        <v>3394</v>
      </c>
    </row>
    <row r="67" spans="1:6" x14ac:dyDescent="0.25">
      <c r="A67" s="5">
        <v>54</v>
      </c>
      <c r="B67" s="176" t="s">
        <v>2783</v>
      </c>
      <c r="C67" s="176" t="s">
        <v>36</v>
      </c>
      <c r="D67" s="176" t="s">
        <v>3395</v>
      </c>
      <c r="E67" s="5" t="s">
        <v>34</v>
      </c>
      <c r="F67" s="175" t="s">
        <v>3396</v>
      </c>
    </row>
    <row r="68" spans="1:6" x14ac:dyDescent="0.25">
      <c r="A68" s="24">
        <v>55</v>
      </c>
      <c r="B68" s="24" t="s">
        <v>2783</v>
      </c>
      <c r="C68" s="24" t="s">
        <v>36</v>
      </c>
      <c r="D68" s="24" t="s">
        <v>3397</v>
      </c>
      <c r="E68" s="24" t="s">
        <v>34</v>
      </c>
      <c r="F68" s="24" t="s">
        <v>3398</v>
      </c>
    </row>
    <row r="69" spans="1:6" x14ac:dyDescent="0.25">
      <c r="A69" s="24">
        <v>56</v>
      </c>
      <c r="B69" s="24" t="s">
        <v>2985</v>
      </c>
      <c r="C69" s="24" t="s">
        <v>36</v>
      </c>
      <c r="D69" s="24" t="s">
        <v>3399</v>
      </c>
      <c r="E69" s="24" t="s">
        <v>34</v>
      </c>
      <c r="F69" s="24" t="s">
        <v>3400</v>
      </c>
    </row>
    <row r="70" spans="1:6" x14ac:dyDescent="0.25">
      <c r="A70" s="24">
        <v>57</v>
      </c>
      <c r="B70" s="24" t="s">
        <v>2985</v>
      </c>
      <c r="C70" s="24" t="s">
        <v>36</v>
      </c>
      <c r="D70" s="24" t="s">
        <v>3401</v>
      </c>
      <c r="E70" s="24" t="s">
        <v>34</v>
      </c>
      <c r="F70" s="24" t="s">
        <v>3402</v>
      </c>
    </row>
    <row r="71" spans="1:6" x14ac:dyDescent="0.25">
      <c r="A71" s="24">
        <v>58</v>
      </c>
      <c r="B71" s="24" t="s">
        <v>2985</v>
      </c>
      <c r="C71" s="24" t="s">
        <v>36</v>
      </c>
      <c r="D71" s="24" t="s">
        <v>3403</v>
      </c>
      <c r="E71" s="24" t="s">
        <v>34</v>
      </c>
      <c r="F71" s="24" t="s">
        <v>3404</v>
      </c>
    </row>
    <row r="72" spans="1:6" x14ac:dyDescent="0.25">
      <c r="A72" s="24">
        <v>59</v>
      </c>
      <c r="B72" s="24" t="s">
        <v>2974</v>
      </c>
      <c r="C72" s="24" t="s">
        <v>36</v>
      </c>
      <c r="D72" s="24" t="s">
        <v>3405</v>
      </c>
      <c r="E72" s="24" t="s">
        <v>34</v>
      </c>
      <c r="F72" s="24" t="s">
        <v>3406</v>
      </c>
    </row>
    <row r="73" spans="1:6" x14ac:dyDescent="0.25">
      <c r="A73" s="24">
        <v>60</v>
      </c>
      <c r="B73" s="24" t="s">
        <v>2974</v>
      </c>
      <c r="C73" s="24" t="s">
        <v>36</v>
      </c>
      <c r="D73" s="24" t="s">
        <v>3407</v>
      </c>
      <c r="E73" s="24" t="s">
        <v>34</v>
      </c>
      <c r="F73" s="24" t="s">
        <v>3408</v>
      </c>
    </row>
    <row r="74" spans="1:6" x14ac:dyDescent="0.25">
      <c r="A74" s="24">
        <v>61</v>
      </c>
      <c r="B74" s="24" t="s">
        <v>2974</v>
      </c>
      <c r="C74" s="24" t="s">
        <v>36</v>
      </c>
      <c r="D74" s="24" t="s">
        <v>3409</v>
      </c>
      <c r="E74" s="24" t="s">
        <v>34</v>
      </c>
      <c r="F74" s="24" t="s">
        <v>3410</v>
      </c>
    </row>
    <row r="75" spans="1:6" x14ac:dyDescent="0.25">
      <c r="A75" s="24">
        <v>62</v>
      </c>
      <c r="B75" s="24" t="s">
        <v>2974</v>
      </c>
      <c r="C75" s="24" t="s">
        <v>36</v>
      </c>
      <c r="D75" s="24" t="s">
        <v>3104</v>
      </c>
      <c r="E75" s="24" t="s">
        <v>34</v>
      </c>
      <c r="F75" s="24" t="s">
        <v>3105</v>
      </c>
    </row>
    <row r="76" spans="1:6" x14ac:dyDescent="0.25">
      <c r="A76" s="24">
        <v>63</v>
      </c>
      <c r="B76" s="24" t="s">
        <v>2976</v>
      </c>
      <c r="C76" s="24" t="s">
        <v>36</v>
      </c>
      <c r="D76" s="24" t="s">
        <v>3411</v>
      </c>
      <c r="E76" s="24" t="s">
        <v>34</v>
      </c>
      <c r="F76" s="24" t="s">
        <v>3412</v>
      </c>
    </row>
    <row r="77" spans="1:6" x14ac:dyDescent="0.25">
      <c r="A77" s="24">
        <v>64</v>
      </c>
      <c r="B77" s="24" t="s">
        <v>2976</v>
      </c>
      <c r="C77" s="24" t="s">
        <v>36</v>
      </c>
      <c r="D77" s="24" t="s">
        <v>3413</v>
      </c>
      <c r="E77" s="24" t="s">
        <v>34</v>
      </c>
      <c r="F77" s="24" t="s">
        <v>3414</v>
      </c>
    </row>
    <row r="78" spans="1:6" x14ac:dyDescent="0.25">
      <c r="A78" s="24">
        <v>65</v>
      </c>
      <c r="B78" s="24" t="s">
        <v>2976</v>
      </c>
      <c r="C78" s="24" t="s">
        <v>36</v>
      </c>
      <c r="D78" s="24" t="s">
        <v>3415</v>
      </c>
      <c r="E78" s="24" t="s">
        <v>34</v>
      </c>
      <c r="F78" s="24" t="s">
        <v>3416</v>
      </c>
    </row>
    <row r="79" spans="1:6" x14ac:dyDescent="0.25">
      <c r="A79" s="4">
        <v>66</v>
      </c>
      <c r="B79" s="4" t="s">
        <v>2794</v>
      </c>
      <c r="C79" s="4" t="s">
        <v>36</v>
      </c>
      <c r="D79" s="4" t="s">
        <v>3106</v>
      </c>
      <c r="E79" s="4" t="s">
        <v>34</v>
      </c>
      <c r="F79" s="59" t="s">
        <v>3107</v>
      </c>
    </row>
    <row r="80" spans="1:6" x14ac:dyDescent="0.25">
      <c r="A80" s="4">
        <v>67</v>
      </c>
      <c r="B80" s="4" t="s">
        <v>2794</v>
      </c>
      <c r="C80" s="4" t="s">
        <v>36</v>
      </c>
      <c r="D80" s="4" t="s">
        <v>3108</v>
      </c>
      <c r="E80" s="4" t="s">
        <v>34</v>
      </c>
      <c r="F80" s="59" t="s">
        <v>3109</v>
      </c>
    </row>
    <row r="81" spans="1:6" x14ac:dyDescent="0.25">
      <c r="A81" s="4">
        <v>68</v>
      </c>
      <c r="B81" s="4" t="s">
        <v>2790</v>
      </c>
      <c r="C81" s="4" t="s">
        <v>36</v>
      </c>
      <c r="D81" s="4" t="s">
        <v>3110</v>
      </c>
      <c r="E81" s="4" t="s">
        <v>34</v>
      </c>
      <c r="F81" s="59" t="s">
        <v>3111</v>
      </c>
    </row>
    <row r="82" spans="1:6" x14ac:dyDescent="0.25">
      <c r="A82" s="4">
        <v>69</v>
      </c>
      <c r="B82" s="4" t="s">
        <v>2790</v>
      </c>
      <c r="C82" s="4" t="s">
        <v>36</v>
      </c>
      <c r="D82" s="4" t="s">
        <v>3417</v>
      </c>
      <c r="E82" s="4" t="s">
        <v>34</v>
      </c>
      <c r="F82" s="59" t="s">
        <v>3418</v>
      </c>
    </row>
    <row r="83" spans="1:6" x14ac:dyDescent="0.25">
      <c r="A83" s="4">
        <v>70</v>
      </c>
      <c r="B83" s="4" t="s">
        <v>2790</v>
      </c>
      <c r="C83" s="4" t="s">
        <v>36</v>
      </c>
      <c r="D83" s="4" t="s">
        <v>3112</v>
      </c>
      <c r="E83" s="4" t="s">
        <v>34</v>
      </c>
      <c r="F83" s="59" t="s">
        <v>3113</v>
      </c>
    </row>
    <row r="84" spans="1:6" x14ac:dyDescent="0.25">
      <c r="A84" s="4">
        <v>71</v>
      </c>
      <c r="B84" s="4" t="s">
        <v>2790</v>
      </c>
      <c r="C84" s="4" t="s">
        <v>36</v>
      </c>
      <c r="D84" s="4" t="s">
        <v>3419</v>
      </c>
      <c r="E84" s="4" t="s">
        <v>34</v>
      </c>
      <c r="F84" s="59" t="s">
        <v>3420</v>
      </c>
    </row>
    <row r="85" spans="1:6" x14ac:dyDescent="0.25">
      <c r="A85" s="4">
        <v>72</v>
      </c>
      <c r="B85" s="4" t="s">
        <v>3002</v>
      </c>
      <c r="C85" s="4" t="s">
        <v>36</v>
      </c>
      <c r="D85" s="4" t="s">
        <v>3114</v>
      </c>
      <c r="E85" s="4" t="s">
        <v>34</v>
      </c>
      <c r="F85" s="59" t="s">
        <v>3115</v>
      </c>
    </row>
    <row r="86" spans="1:6" x14ac:dyDescent="0.25">
      <c r="A86" s="4">
        <v>73</v>
      </c>
      <c r="B86" s="4" t="s">
        <v>2773</v>
      </c>
      <c r="C86" s="4" t="s">
        <v>36</v>
      </c>
      <c r="D86" s="4" t="s">
        <v>3116</v>
      </c>
      <c r="E86" s="4" t="s">
        <v>34</v>
      </c>
      <c r="F86" s="59" t="s">
        <v>3117</v>
      </c>
    </row>
    <row r="87" spans="1:6" x14ac:dyDescent="0.25">
      <c r="A87" s="4">
        <v>74</v>
      </c>
      <c r="B87" s="4" t="s">
        <v>2773</v>
      </c>
      <c r="C87" s="4" t="s">
        <v>36</v>
      </c>
      <c r="D87" s="4" t="s">
        <v>3118</v>
      </c>
      <c r="E87" s="4" t="s">
        <v>34</v>
      </c>
      <c r="F87" s="59" t="s">
        <v>3119</v>
      </c>
    </row>
    <row r="88" spans="1:6" x14ac:dyDescent="0.25">
      <c r="A88" s="4">
        <v>75</v>
      </c>
      <c r="B88" s="4" t="s">
        <v>2790</v>
      </c>
      <c r="C88" s="4" t="s">
        <v>36</v>
      </c>
      <c r="D88" s="4" t="s">
        <v>3120</v>
      </c>
      <c r="E88" s="4" t="s">
        <v>34</v>
      </c>
      <c r="F88" s="59" t="s">
        <v>3121</v>
      </c>
    </row>
    <row r="89" spans="1:6" x14ac:dyDescent="0.25">
      <c r="A89" s="4">
        <v>76</v>
      </c>
      <c r="B89" s="4" t="s">
        <v>2976</v>
      </c>
      <c r="C89" s="4" t="s">
        <v>36</v>
      </c>
      <c r="D89" s="4" t="s">
        <v>3122</v>
      </c>
      <c r="E89" s="4" t="s">
        <v>34</v>
      </c>
      <c r="F89" s="59" t="s">
        <v>3123</v>
      </c>
    </row>
    <row r="90" spans="1:6" x14ac:dyDescent="0.25">
      <c r="A90" s="4">
        <v>77</v>
      </c>
      <c r="B90" s="4" t="s">
        <v>2779</v>
      </c>
      <c r="C90" s="4" t="s">
        <v>36</v>
      </c>
      <c r="D90" s="4" t="s">
        <v>3421</v>
      </c>
      <c r="E90" s="4" t="s">
        <v>34</v>
      </c>
      <c r="F90" s="59" t="s">
        <v>3422</v>
      </c>
    </row>
    <row r="91" spans="1:6" x14ac:dyDescent="0.25">
      <c r="A91" s="4">
        <v>78</v>
      </c>
      <c r="B91" s="4" t="s">
        <v>2976</v>
      </c>
      <c r="C91" s="4" t="s">
        <v>36</v>
      </c>
      <c r="D91" s="4" t="s">
        <v>3124</v>
      </c>
      <c r="E91" s="4" t="s">
        <v>34</v>
      </c>
      <c r="F91" s="59" t="s">
        <v>3125</v>
      </c>
    </row>
    <row r="92" spans="1:6" x14ac:dyDescent="0.25">
      <c r="A92" s="4">
        <v>79</v>
      </c>
      <c r="B92" s="4" t="s">
        <v>2779</v>
      </c>
      <c r="C92" s="4" t="s">
        <v>36</v>
      </c>
      <c r="D92" s="4" t="s">
        <v>3126</v>
      </c>
      <c r="E92" s="4" t="s">
        <v>34</v>
      </c>
      <c r="F92" s="59" t="s">
        <v>3127</v>
      </c>
    </row>
    <row r="93" spans="1:6" x14ac:dyDescent="0.25">
      <c r="A93" s="4">
        <v>80</v>
      </c>
      <c r="B93" s="4" t="s">
        <v>2976</v>
      </c>
      <c r="C93" s="4" t="s">
        <v>36</v>
      </c>
      <c r="D93" s="4" t="s">
        <v>3128</v>
      </c>
      <c r="E93" s="4" t="s">
        <v>34</v>
      </c>
      <c r="F93" s="59" t="s">
        <v>3129</v>
      </c>
    </row>
    <row r="94" spans="1:6" x14ac:dyDescent="0.25">
      <c r="A94" s="4">
        <v>81</v>
      </c>
      <c r="B94" s="4" t="s">
        <v>2976</v>
      </c>
      <c r="C94" s="4" t="s">
        <v>36</v>
      </c>
      <c r="D94" s="4" t="s">
        <v>3130</v>
      </c>
      <c r="E94" s="4" t="s">
        <v>34</v>
      </c>
      <c r="F94" s="4" t="s">
        <v>3131</v>
      </c>
    </row>
    <row r="95" spans="1:6" x14ac:dyDescent="0.25">
      <c r="A95" s="4">
        <v>82</v>
      </c>
      <c r="B95" s="4" t="s">
        <v>2790</v>
      </c>
      <c r="C95" s="4" t="s">
        <v>36</v>
      </c>
      <c r="D95" s="4" t="s">
        <v>3132</v>
      </c>
      <c r="E95" s="4" t="s">
        <v>34</v>
      </c>
      <c r="F95" s="59" t="s">
        <v>3133</v>
      </c>
    </row>
    <row r="96" spans="1:6" x14ac:dyDescent="0.25">
      <c r="A96" s="4">
        <v>83</v>
      </c>
      <c r="B96" s="4" t="s">
        <v>2773</v>
      </c>
      <c r="C96" s="4" t="s">
        <v>36</v>
      </c>
      <c r="D96" s="4" t="s">
        <v>3134</v>
      </c>
      <c r="E96" s="4" t="s">
        <v>34</v>
      </c>
      <c r="F96" s="59" t="s">
        <v>3135</v>
      </c>
    </row>
    <row r="97" spans="1:7" x14ac:dyDescent="0.25">
      <c r="A97" s="4">
        <v>84</v>
      </c>
      <c r="B97" s="4" t="s">
        <v>2773</v>
      </c>
      <c r="C97" s="4" t="s">
        <v>36</v>
      </c>
      <c r="D97" s="4" t="s">
        <v>2857</v>
      </c>
      <c r="E97" s="4" t="s">
        <v>34</v>
      </c>
      <c r="F97" s="59" t="s">
        <v>2858</v>
      </c>
    </row>
    <row r="98" spans="1:7" x14ac:dyDescent="0.25">
      <c r="A98" s="4">
        <v>85</v>
      </c>
      <c r="B98" s="4" t="s">
        <v>2773</v>
      </c>
      <c r="C98" s="4" t="s">
        <v>36</v>
      </c>
      <c r="D98" s="4" t="s">
        <v>3136</v>
      </c>
      <c r="E98" s="4" t="s">
        <v>34</v>
      </c>
      <c r="F98" s="59" t="s">
        <v>3137</v>
      </c>
    </row>
    <row r="99" spans="1:7" x14ac:dyDescent="0.25">
      <c r="A99" s="4">
        <v>86</v>
      </c>
      <c r="B99" s="4" t="s">
        <v>2790</v>
      </c>
      <c r="C99" s="4" t="s">
        <v>36</v>
      </c>
      <c r="D99" s="4" t="s">
        <v>3423</v>
      </c>
      <c r="E99" s="4" t="s">
        <v>34</v>
      </c>
      <c r="F99" s="59" t="s">
        <v>3424</v>
      </c>
    </row>
    <row r="100" spans="1:7" x14ac:dyDescent="0.25">
      <c r="A100" s="4">
        <v>87</v>
      </c>
      <c r="B100" s="4" t="s">
        <v>2783</v>
      </c>
      <c r="C100" s="4" t="s">
        <v>36</v>
      </c>
      <c r="D100" s="4" t="s">
        <v>3138</v>
      </c>
      <c r="E100" s="4" t="s">
        <v>34</v>
      </c>
      <c r="F100" s="59" t="s">
        <v>3139</v>
      </c>
    </row>
    <row r="101" spans="1:7" x14ac:dyDescent="0.25">
      <c r="A101" s="4">
        <v>88</v>
      </c>
      <c r="B101" s="4" t="s">
        <v>2992</v>
      </c>
      <c r="C101" s="4" t="s">
        <v>36</v>
      </c>
      <c r="D101" s="4" t="s">
        <v>3140</v>
      </c>
      <c r="E101" s="4" t="s">
        <v>34</v>
      </c>
      <c r="F101" s="59" t="s">
        <v>3141</v>
      </c>
    </row>
    <row r="102" spans="1:7" x14ac:dyDescent="0.25">
      <c r="A102" s="4">
        <v>89</v>
      </c>
      <c r="B102" s="4" t="s">
        <v>2777</v>
      </c>
      <c r="C102" s="4" t="s">
        <v>36</v>
      </c>
      <c r="D102" s="4" t="s">
        <v>3142</v>
      </c>
      <c r="E102" s="4" t="s">
        <v>34</v>
      </c>
      <c r="F102" s="59" t="s">
        <v>3143</v>
      </c>
    </row>
    <row r="103" spans="1:7" x14ac:dyDescent="0.25">
      <c r="A103" s="4">
        <v>90</v>
      </c>
      <c r="B103" s="4" t="s">
        <v>2781</v>
      </c>
      <c r="C103" s="4" t="s">
        <v>36</v>
      </c>
      <c r="D103" s="4" t="s">
        <v>3144</v>
      </c>
      <c r="E103" s="4" t="s">
        <v>34</v>
      </c>
      <c r="F103" s="59" t="s">
        <v>3145</v>
      </c>
    </row>
    <row r="104" spans="1:7" x14ac:dyDescent="0.25">
      <c r="A104" s="4">
        <v>91</v>
      </c>
      <c r="B104" s="4" t="s">
        <v>2781</v>
      </c>
      <c r="C104" s="4" t="s">
        <v>36</v>
      </c>
      <c r="D104" s="4" t="s">
        <v>3146</v>
      </c>
      <c r="E104" s="4" t="s">
        <v>34</v>
      </c>
      <c r="F104" s="59" t="s">
        <v>3147</v>
      </c>
    </row>
    <row r="105" spans="1:7" x14ac:dyDescent="0.25">
      <c r="A105" s="4">
        <v>92</v>
      </c>
      <c r="B105" s="4" t="s">
        <v>2974</v>
      </c>
      <c r="C105" s="4" t="s">
        <v>36</v>
      </c>
      <c r="D105" s="4" t="s">
        <v>3425</v>
      </c>
      <c r="E105" s="4" t="s">
        <v>34</v>
      </c>
      <c r="F105" s="59" t="s">
        <v>3426</v>
      </c>
    </row>
    <row r="106" spans="1:7" x14ac:dyDescent="0.25">
      <c r="A106" s="4">
        <v>93</v>
      </c>
      <c r="B106" s="4" t="s">
        <v>2976</v>
      </c>
      <c r="C106" s="4" t="s">
        <v>36</v>
      </c>
      <c r="D106" s="4" t="s">
        <v>3148</v>
      </c>
      <c r="E106" s="4" t="s">
        <v>34</v>
      </c>
      <c r="F106" s="59" t="s">
        <v>3149</v>
      </c>
    </row>
    <row r="107" spans="1:7" x14ac:dyDescent="0.25">
      <c r="A107" s="4">
        <v>94</v>
      </c>
      <c r="B107" s="4" t="s">
        <v>2988</v>
      </c>
      <c r="C107" s="4" t="s">
        <v>36</v>
      </c>
      <c r="D107" s="4" t="s">
        <v>3427</v>
      </c>
      <c r="E107" s="4" t="s">
        <v>34</v>
      </c>
      <c r="F107" s="59" t="s">
        <v>3428</v>
      </c>
    </row>
    <row r="108" spans="1:7" x14ac:dyDescent="0.25">
      <c r="G108" s="59" t="s">
        <v>2547</v>
      </c>
    </row>
    <row r="109" spans="1:7" x14ac:dyDescent="0.25">
      <c r="G109" s="59" t="s">
        <v>3677</v>
      </c>
    </row>
    <row r="110" spans="1:7" x14ac:dyDescent="0.25">
      <c r="G110" s="59" t="s">
        <v>3678</v>
      </c>
    </row>
    <row r="111" spans="1:7" x14ac:dyDescent="0.25">
      <c r="G111" s="59" t="s">
        <v>2854</v>
      </c>
    </row>
    <row r="112" spans="1:7" x14ac:dyDescent="0.25">
      <c r="G112" s="59" t="s">
        <v>3055</v>
      </c>
    </row>
    <row r="113" spans="7:7" x14ac:dyDescent="0.25">
      <c r="G113" s="59" t="s">
        <v>3057</v>
      </c>
    </row>
    <row r="114" spans="7:7" x14ac:dyDescent="0.25">
      <c r="G114" s="59" t="s">
        <v>3059</v>
      </c>
    </row>
    <row r="115" spans="7:7" x14ac:dyDescent="0.25">
      <c r="G115" s="59" t="s">
        <v>3061</v>
      </c>
    </row>
    <row r="116" spans="7:7" x14ac:dyDescent="0.25">
      <c r="G116" s="59" t="s">
        <v>3063</v>
      </c>
    </row>
    <row r="117" spans="7:7" x14ac:dyDescent="0.25">
      <c r="G117" s="59" t="s">
        <v>3065</v>
      </c>
    </row>
    <row r="118" spans="7:7" x14ac:dyDescent="0.25">
      <c r="G118" s="59" t="s">
        <v>3679</v>
      </c>
    </row>
    <row r="119" spans="7:7" x14ac:dyDescent="0.25">
      <c r="G119" s="59" t="s">
        <v>3680</v>
      </c>
    </row>
    <row r="120" spans="7:7" x14ac:dyDescent="0.25">
      <c r="G120" s="59" t="s">
        <v>3681</v>
      </c>
    </row>
    <row r="121" spans="7:7" x14ac:dyDescent="0.25">
      <c r="G121" s="59" t="s">
        <v>3682</v>
      </c>
    </row>
    <row r="122" spans="7:7" x14ac:dyDescent="0.25">
      <c r="G122" s="59" t="s">
        <v>3683</v>
      </c>
    </row>
    <row r="123" spans="7:7" x14ac:dyDescent="0.25">
      <c r="G123" s="59" t="s">
        <v>2856</v>
      </c>
    </row>
    <row r="124" spans="7:7" x14ac:dyDescent="0.25">
      <c r="G124" s="59" t="s">
        <v>3684</v>
      </c>
    </row>
    <row r="125" spans="7:7" x14ac:dyDescent="0.25">
      <c r="G125" s="59" t="s">
        <v>3685</v>
      </c>
    </row>
    <row r="126" spans="7:7" x14ac:dyDescent="0.25">
      <c r="G126" s="59" t="s">
        <v>3686</v>
      </c>
    </row>
    <row r="127" spans="7:7" x14ac:dyDescent="0.25">
      <c r="G127" s="59" t="s">
        <v>3067</v>
      </c>
    </row>
    <row r="128" spans="7:7" x14ac:dyDescent="0.25">
      <c r="G128" s="59" t="s">
        <v>3069</v>
      </c>
    </row>
    <row r="129" spans="7:7" x14ac:dyDescent="0.25">
      <c r="G129" s="59" t="s">
        <v>3071</v>
      </c>
    </row>
    <row r="130" spans="7:7" x14ac:dyDescent="0.25">
      <c r="G130" s="59" t="s">
        <v>3687</v>
      </c>
    </row>
    <row r="131" spans="7:7" x14ac:dyDescent="0.25">
      <c r="G131" s="59" t="s">
        <v>3688</v>
      </c>
    </row>
    <row r="132" spans="7:7" x14ac:dyDescent="0.25">
      <c r="G132" s="59" t="s">
        <v>3073</v>
      </c>
    </row>
    <row r="133" spans="7:7" x14ac:dyDescent="0.25">
      <c r="G133" s="59" t="s">
        <v>3075</v>
      </c>
    </row>
    <row r="134" spans="7:7" x14ac:dyDescent="0.25">
      <c r="G134" s="59" t="s">
        <v>3077</v>
      </c>
    </row>
    <row r="135" spans="7:7" x14ac:dyDescent="0.25">
      <c r="G135" s="59" t="s">
        <v>3689</v>
      </c>
    </row>
    <row r="136" spans="7:7" x14ac:dyDescent="0.25">
      <c r="G136" s="59" t="s">
        <v>3079</v>
      </c>
    </row>
    <row r="137" spans="7:7" x14ac:dyDescent="0.25">
      <c r="G137" s="59" t="s">
        <v>3081</v>
      </c>
    </row>
    <row r="138" spans="7:7" x14ac:dyDescent="0.25">
      <c r="G138" s="59" t="s">
        <v>3690</v>
      </c>
    </row>
    <row r="139" spans="7:7" x14ac:dyDescent="0.25">
      <c r="G139" s="59" t="s">
        <v>3691</v>
      </c>
    </row>
    <row r="140" spans="7:7" x14ac:dyDescent="0.25">
      <c r="G140" s="59" t="s">
        <v>3692</v>
      </c>
    </row>
    <row r="141" spans="7:7" x14ac:dyDescent="0.25">
      <c r="G141" s="59" t="s">
        <v>3083</v>
      </c>
    </row>
    <row r="142" spans="7:7" x14ac:dyDescent="0.25">
      <c r="G142" s="59" t="s">
        <v>3085</v>
      </c>
    </row>
    <row r="143" spans="7:7" x14ac:dyDescent="0.25">
      <c r="G143" s="59" t="s">
        <v>3693</v>
      </c>
    </row>
    <row r="144" spans="7:7" x14ac:dyDescent="0.25">
      <c r="G144" s="59" t="s">
        <v>3694</v>
      </c>
    </row>
    <row r="145" spans="7:7" x14ac:dyDescent="0.25">
      <c r="G145" s="59" t="s">
        <v>3087</v>
      </c>
    </row>
    <row r="146" spans="7:7" x14ac:dyDescent="0.25">
      <c r="G146" s="59" t="s">
        <v>3089</v>
      </c>
    </row>
    <row r="147" spans="7:7" x14ac:dyDescent="0.25">
      <c r="G147" s="59" t="s">
        <v>3091</v>
      </c>
    </row>
    <row r="148" spans="7:7" x14ac:dyDescent="0.25">
      <c r="G148" s="59" t="s">
        <v>3093</v>
      </c>
    </row>
    <row r="149" spans="7:7" x14ac:dyDescent="0.25">
      <c r="G149" s="59" t="s">
        <v>3695</v>
      </c>
    </row>
    <row r="150" spans="7:7" x14ac:dyDescent="0.25">
      <c r="G150" s="59" t="s">
        <v>3696</v>
      </c>
    </row>
    <row r="151" spans="7:7" x14ac:dyDescent="0.25">
      <c r="G151" s="59" t="s">
        <v>3095</v>
      </c>
    </row>
    <row r="152" spans="7:7" x14ac:dyDescent="0.25">
      <c r="G152" s="59" t="s">
        <v>2797</v>
      </c>
    </row>
    <row r="153" spans="7:7" x14ac:dyDescent="0.25">
      <c r="G153" s="59" t="s">
        <v>3097</v>
      </c>
    </row>
    <row r="154" spans="7:7" x14ac:dyDescent="0.25">
      <c r="G154" s="59" t="s">
        <v>3697</v>
      </c>
    </row>
    <row r="155" spans="7:7" x14ac:dyDescent="0.25">
      <c r="G155" s="59" t="s">
        <v>3099</v>
      </c>
    </row>
    <row r="156" spans="7:7" x14ac:dyDescent="0.25">
      <c r="G156" s="59" t="s">
        <v>3101</v>
      </c>
    </row>
    <row r="157" spans="7:7" x14ac:dyDescent="0.25">
      <c r="G157" s="59" t="s">
        <v>3698</v>
      </c>
    </row>
    <row r="158" spans="7:7" x14ac:dyDescent="0.25">
      <c r="G158" s="59" t="s">
        <v>3103</v>
      </c>
    </row>
    <row r="159" spans="7:7" x14ac:dyDescent="0.25">
      <c r="G159" s="59" t="s">
        <v>3699</v>
      </c>
    </row>
    <row r="160" spans="7:7" x14ac:dyDescent="0.25">
      <c r="G160" s="59" t="s">
        <v>3700</v>
      </c>
    </row>
    <row r="161" spans="7:7" x14ac:dyDescent="0.25">
      <c r="G161" s="59" t="s">
        <v>3701</v>
      </c>
    </row>
    <row r="162" spans="7:7" x14ac:dyDescent="0.25">
      <c r="G162" s="59" t="s">
        <v>3702</v>
      </c>
    </row>
    <row r="163" spans="7:7" x14ac:dyDescent="0.25">
      <c r="G163" s="59" t="s">
        <v>3703</v>
      </c>
    </row>
    <row r="164" spans="7:7" x14ac:dyDescent="0.25">
      <c r="G164" s="59" t="s">
        <v>3704</v>
      </c>
    </row>
    <row r="165" spans="7:7" x14ac:dyDescent="0.25">
      <c r="G165" s="59" t="s">
        <v>3105</v>
      </c>
    </row>
    <row r="166" spans="7:7" x14ac:dyDescent="0.25">
      <c r="G166" s="59" t="s">
        <v>3107</v>
      </c>
    </row>
    <row r="167" spans="7:7" x14ac:dyDescent="0.25">
      <c r="G167" s="59" t="s">
        <v>3109</v>
      </c>
    </row>
    <row r="168" spans="7:7" x14ac:dyDescent="0.25">
      <c r="G168" s="59" t="s">
        <v>3705</v>
      </c>
    </row>
    <row r="169" spans="7:7" x14ac:dyDescent="0.25">
      <c r="G169" s="59" t="s">
        <v>3111</v>
      </c>
    </row>
    <row r="170" spans="7:7" x14ac:dyDescent="0.25">
      <c r="G170" s="59" t="s">
        <v>3113</v>
      </c>
    </row>
    <row r="171" spans="7:7" x14ac:dyDescent="0.25">
      <c r="G171" s="59" t="s">
        <v>3115</v>
      </c>
    </row>
    <row r="172" spans="7:7" x14ac:dyDescent="0.25">
      <c r="G172" s="59" t="s">
        <v>3117</v>
      </c>
    </row>
    <row r="173" spans="7:7" x14ac:dyDescent="0.25">
      <c r="G173" s="59" t="s">
        <v>3119</v>
      </c>
    </row>
    <row r="174" spans="7:7" x14ac:dyDescent="0.25">
      <c r="G174" s="59" t="s">
        <v>3706</v>
      </c>
    </row>
    <row r="175" spans="7:7" x14ac:dyDescent="0.25">
      <c r="G175" s="59" t="s">
        <v>3707</v>
      </c>
    </row>
    <row r="176" spans="7:7" x14ac:dyDescent="0.25">
      <c r="G176" s="59" t="s">
        <v>3121</v>
      </c>
    </row>
    <row r="177" spans="7:7" x14ac:dyDescent="0.25">
      <c r="G177" s="59" t="s">
        <v>3123</v>
      </c>
    </row>
    <row r="178" spans="7:7" x14ac:dyDescent="0.25">
      <c r="G178" s="59" t="s">
        <v>3125</v>
      </c>
    </row>
    <row r="179" spans="7:7" x14ac:dyDescent="0.25">
      <c r="G179" s="59" t="s">
        <v>3708</v>
      </c>
    </row>
    <row r="180" spans="7:7" x14ac:dyDescent="0.25">
      <c r="G180" s="59" t="s">
        <v>3709</v>
      </c>
    </row>
    <row r="181" spans="7:7" x14ac:dyDescent="0.25">
      <c r="G181" s="59" t="s">
        <v>3127</v>
      </c>
    </row>
    <row r="182" spans="7:7" x14ac:dyDescent="0.25">
      <c r="G182" s="59" t="s">
        <v>3710</v>
      </c>
    </row>
    <row r="183" spans="7:7" x14ac:dyDescent="0.25">
      <c r="G183" s="59" t="s">
        <v>3129</v>
      </c>
    </row>
    <row r="184" spans="7:7" x14ac:dyDescent="0.25">
      <c r="G184" s="59" t="s">
        <v>3131</v>
      </c>
    </row>
    <row r="185" spans="7:7" x14ac:dyDescent="0.25">
      <c r="G185" s="59" t="s">
        <v>3711</v>
      </c>
    </row>
    <row r="186" spans="7:7" x14ac:dyDescent="0.25">
      <c r="G186" s="59" t="s">
        <v>3133</v>
      </c>
    </row>
    <row r="187" spans="7:7" x14ac:dyDescent="0.25">
      <c r="G187" s="59" t="s">
        <v>3135</v>
      </c>
    </row>
    <row r="188" spans="7:7" x14ac:dyDescent="0.25">
      <c r="G188" s="59" t="s">
        <v>2858</v>
      </c>
    </row>
    <row r="189" spans="7:7" x14ac:dyDescent="0.25">
      <c r="G189" s="59" t="s">
        <v>3137</v>
      </c>
    </row>
    <row r="190" spans="7:7" x14ac:dyDescent="0.25">
      <c r="G190" s="59" t="s">
        <v>3712</v>
      </c>
    </row>
    <row r="191" spans="7:7" x14ac:dyDescent="0.25">
      <c r="G191" s="59" t="s">
        <v>3713</v>
      </c>
    </row>
    <row r="192" spans="7:7" x14ac:dyDescent="0.25">
      <c r="G192" s="59" t="s">
        <v>3714</v>
      </c>
    </row>
    <row r="193" spans="7:7" x14ac:dyDescent="0.25">
      <c r="G193" s="59" t="s">
        <v>3139</v>
      </c>
    </row>
    <row r="194" spans="7:7" x14ac:dyDescent="0.25">
      <c r="G194" s="59" t="s">
        <v>3141</v>
      </c>
    </row>
    <row r="195" spans="7:7" x14ac:dyDescent="0.25">
      <c r="G195" s="59" t="s">
        <v>3143</v>
      </c>
    </row>
    <row r="196" spans="7:7" x14ac:dyDescent="0.25">
      <c r="G196" s="59" t="s">
        <v>3145</v>
      </c>
    </row>
    <row r="197" spans="7:7" x14ac:dyDescent="0.25">
      <c r="G197" s="59" t="s">
        <v>3147</v>
      </c>
    </row>
    <row r="198" spans="7:7" x14ac:dyDescent="0.25">
      <c r="G198" s="59" t="s">
        <v>3149</v>
      </c>
    </row>
    <row r="199" spans="7:7" x14ac:dyDescent="0.25">
      <c r="G199" s="59" t="s">
        <v>3715</v>
      </c>
    </row>
    <row r="200" spans="7:7" x14ac:dyDescent="0.25">
      <c r="G200" s="59"/>
    </row>
  </sheetData>
  <phoneticPr fontId="22" type="noConversion"/>
  <dataValidations count="1">
    <dataValidation type="list" allowBlank="1" showInputMessage="1" showErrorMessage="1" sqref="C13:C35" xr:uid="{DFB74871-E6C0-4149-87E2-589CBB109A68}">
      <formula1>"ALARM_SET_EVENT_ACTION,ALARM_ACTIVATE_TASK_ACTION"</formula1>
    </dataValidation>
  </dataValidations>
  <hyperlinks>
    <hyperlink ref="B6" location="Rte_EventList!A1" display="List of Events" xr:uid="{00000000-0004-0000-0A00-000000000000}"/>
    <hyperlink ref="B7" location="Rte_AlarmList!A1" display="List of Alarms" xr:uid="{00000000-0004-0000-0A00-000001000000}"/>
    <hyperlink ref="C1" r:id="rId1" display="\\10.138.232.172\sjain10\git_ws\kCluster_base4\programs\royale\my2023\kcluster\bsw-gen\Appl\GenData\Os_Alarm_Lcfg.c" xr:uid="{00000000-0004-0000-0A00-000002000000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46085" r:id="rId5" name="cmdImportAlarmTable">
          <controlPr defaultSize="0" autoLine="0" autoPict="0" r:id="rId6">
            <anchor moveWithCells="1">
              <from>
                <xdr:col>1</xdr:col>
                <xdr:colOff>19050</xdr:colOff>
                <xdr:row>1</xdr:row>
                <xdr:rowOff>142875</xdr:rowOff>
              </from>
              <to>
                <xdr:col>1</xdr:col>
                <xdr:colOff>1771650</xdr:colOff>
                <xdr:row>4</xdr:row>
                <xdr:rowOff>0</xdr:rowOff>
              </to>
            </anchor>
          </controlPr>
        </control>
      </mc:Choice>
      <mc:Fallback>
        <control shapeId="46085" r:id="rId5" name="cmdImportAlarmTabl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B2"/>
  <sheetViews>
    <sheetView workbookViewId="0">
      <selection activeCell="A13" sqref="A13"/>
    </sheetView>
  </sheetViews>
  <sheetFormatPr defaultRowHeight="15" x14ac:dyDescent="0.25"/>
  <cols>
    <col min="1" max="1" width="37.28515625" bestFit="1" customWidth="1"/>
  </cols>
  <sheetData>
    <row r="1" spans="1:2" x14ac:dyDescent="0.25">
      <c r="A1" t="s">
        <v>688</v>
      </c>
      <c r="B1" t="s">
        <v>696</v>
      </c>
    </row>
    <row r="2" spans="1:2" x14ac:dyDescent="0.25">
      <c r="A2" t="s">
        <v>689</v>
      </c>
      <c r="B2">
        <v>0</v>
      </c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>
    <tabColor theme="5" tint="0.39997558519241921"/>
  </sheetPr>
  <dimension ref="A1:P100"/>
  <sheetViews>
    <sheetView topLeftCell="A91" workbookViewId="0">
      <selection activeCell="A6" sqref="A6:A100"/>
    </sheetView>
  </sheetViews>
  <sheetFormatPr defaultRowHeight="15" x14ac:dyDescent="0.25"/>
  <cols>
    <col min="1" max="1" width="67.5703125" customWidth="1"/>
    <col min="2" max="2" width="12.7109375" customWidth="1"/>
  </cols>
  <sheetData>
    <row r="1" spans="1:16" x14ac:dyDescent="0.25">
      <c r="A1" s="51" t="s">
        <v>1115</v>
      </c>
      <c r="B1" s="108" t="s">
        <v>2831</v>
      </c>
    </row>
    <row r="3" spans="1:16" ht="15.75" thickBot="1" x14ac:dyDescent="0.3"/>
    <row r="4" spans="1:16" ht="15.75" thickBot="1" x14ac:dyDescent="0.3">
      <c r="E4" s="110" t="s">
        <v>2804</v>
      </c>
      <c r="F4" s="111"/>
      <c r="G4" s="112"/>
    </row>
    <row r="5" spans="1:16" x14ac:dyDescent="0.25">
      <c r="A5" s="42" t="s">
        <v>697</v>
      </c>
      <c r="E5" s="113"/>
      <c r="F5" s="114" t="s">
        <v>2801</v>
      </c>
      <c r="G5" s="115"/>
      <c r="H5" s="115"/>
      <c r="I5" s="115"/>
      <c r="J5" s="115"/>
      <c r="K5" s="115"/>
      <c r="L5" s="115"/>
      <c r="M5" s="115"/>
      <c r="N5" s="115"/>
      <c r="O5" s="115"/>
      <c r="P5" s="112"/>
    </row>
    <row r="6" spans="1:16" x14ac:dyDescent="0.25">
      <c r="A6" t="s">
        <v>3150</v>
      </c>
      <c r="E6" s="113"/>
      <c r="F6" s="116" t="s">
        <v>2802</v>
      </c>
      <c r="G6" s="117"/>
      <c r="H6" s="117"/>
      <c r="I6" s="117"/>
      <c r="J6" s="117"/>
      <c r="K6" s="117"/>
      <c r="L6" s="117"/>
      <c r="M6" s="117"/>
      <c r="N6" s="117"/>
      <c r="O6" s="117"/>
      <c r="P6" s="118"/>
    </row>
    <row r="7" spans="1:16" ht="15.75" thickBot="1" x14ac:dyDescent="0.3">
      <c r="A7" t="s">
        <v>3429</v>
      </c>
      <c r="E7" s="113"/>
      <c r="F7" s="119" t="s">
        <v>2803</v>
      </c>
      <c r="G7" s="120"/>
      <c r="H7" s="120"/>
      <c r="I7" s="120"/>
      <c r="J7" s="120"/>
      <c r="K7" s="120"/>
      <c r="L7" s="120"/>
      <c r="M7" s="120"/>
      <c r="N7" s="120"/>
      <c r="O7" s="120"/>
      <c r="P7" s="121"/>
    </row>
    <row r="8" spans="1:16" x14ac:dyDescent="0.25">
      <c r="A8" t="s">
        <v>3430</v>
      </c>
    </row>
    <row r="9" spans="1:16" x14ac:dyDescent="0.25">
      <c r="A9" t="s">
        <v>3431</v>
      </c>
    </row>
    <row r="10" spans="1:16" x14ac:dyDescent="0.25">
      <c r="A10" t="s">
        <v>3432</v>
      </c>
    </row>
    <row r="11" spans="1:16" x14ac:dyDescent="0.25">
      <c r="A11" t="s">
        <v>3433</v>
      </c>
    </row>
    <row r="12" spans="1:16" x14ac:dyDescent="0.25">
      <c r="A12" t="s">
        <v>3434</v>
      </c>
    </row>
    <row r="13" spans="1:16" x14ac:dyDescent="0.25">
      <c r="A13" t="s">
        <v>3435</v>
      </c>
    </row>
    <row r="14" spans="1:16" x14ac:dyDescent="0.25">
      <c r="A14" t="s">
        <v>3436</v>
      </c>
    </row>
    <row r="15" spans="1:16" x14ac:dyDescent="0.25">
      <c r="A15" t="s">
        <v>3437</v>
      </c>
    </row>
    <row r="16" spans="1:16" x14ac:dyDescent="0.25">
      <c r="A16" t="s">
        <v>3438</v>
      </c>
    </row>
    <row r="17" spans="1:1" x14ac:dyDescent="0.25">
      <c r="A17" t="s">
        <v>3439</v>
      </c>
    </row>
    <row r="18" spans="1:1" x14ac:dyDescent="0.25">
      <c r="A18" t="s">
        <v>3440</v>
      </c>
    </row>
    <row r="19" spans="1:1" x14ac:dyDescent="0.25">
      <c r="A19" t="s">
        <v>3441</v>
      </c>
    </row>
    <row r="20" spans="1:1" x14ac:dyDescent="0.25">
      <c r="A20" t="s">
        <v>3442</v>
      </c>
    </row>
    <row r="21" spans="1:1" x14ac:dyDescent="0.25">
      <c r="A21" t="s">
        <v>3443</v>
      </c>
    </row>
    <row r="22" spans="1:1" x14ac:dyDescent="0.25">
      <c r="A22" t="s">
        <v>3444</v>
      </c>
    </row>
    <row r="23" spans="1:1" x14ac:dyDescent="0.25">
      <c r="A23" t="s">
        <v>3445</v>
      </c>
    </row>
    <row r="24" spans="1:1" x14ac:dyDescent="0.25">
      <c r="A24" t="s">
        <v>3446</v>
      </c>
    </row>
    <row r="25" spans="1:1" x14ac:dyDescent="0.25">
      <c r="A25" t="s">
        <v>3447</v>
      </c>
    </row>
    <row r="26" spans="1:1" x14ac:dyDescent="0.25">
      <c r="A26" t="s">
        <v>3448</v>
      </c>
    </row>
    <row r="27" spans="1:1" x14ac:dyDescent="0.25">
      <c r="A27" t="s">
        <v>3449</v>
      </c>
    </row>
    <row r="28" spans="1:1" x14ac:dyDescent="0.25">
      <c r="A28" t="s">
        <v>3450</v>
      </c>
    </row>
    <row r="29" spans="1:1" x14ac:dyDescent="0.25">
      <c r="A29" t="s">
        <v>3451</v>
      </c>
    </row>
    <row r="30" spans="1:1" x14ac:dyDescent="0.25">
      <c r="A30" t="s">
        <v>3452</v>
      </c>
    </row>
    <row r="31" spans="1:1" x14ac:dyDescent="0.25">
      <c r="A31" t="s">
        <v>3453</v>
      </c>
    </row>
    <row r="32" spans="1:1" x14ac:dyDescent="0.25">
      <c r="A32" t="s">
        <v>3454</v>
      </c>
    </row>
    <row r="33" spans="1:1" x14ac:dyDescent="0.25">
      <c r="A33" t="s">
        <v>3455</v>
      </c>
    </row>
    <row r="34" spans="1:1" x14ac:dyDescent="0.25">
      <c r="A34" t="s">
        <v>3456</v>
      </c>
    </row>
    <row r="35" spans="1:1" x14ac:dyDescent="0.25">
      <c r="A35" t="s">
        <v>3457</v>
      </c>
    </row>
    <row r="36" spans="1:1" x14ac:dyDescent="0.25">
      <c r="A36" t="s">
        <v>3458</v>
      </c>
    </row>
    <row r="37" spans="1:1" x14ac:dyDescent="0.25">
      <c r="A37" t="s">
        <v>3459</v>
      </c>
    </row>
    <row r="38" spans="1:1" x14ac:dyDescent="0.25">
      <c r="A38" t="s">
        <v>3460</v>
      </c>
    </row>
    <row r="39" spans="1:1" x14ac:dyDescent="0.25">
      <c r="A39" t="s">
        <v>3461</v>
      </c>
    </row>
    <row r="40" spans="1:1" x14ac:dyDescent="0.25">
      <c r="A40" t="s">
        <v>3462</v>
      </c>
    </row>
    <row r="41" spans="1:1" x14ac:dyDescent="0.25">
      <c r="A41" t="s">
        <v>3463</v>
      </c>
    </row>
    <row r="42" spans="1:1" x14ac:dyDescent="0.25">
      <c r="A42" t="s">
        <v>3464</v>
      </c>
    </row>
    <row r="43" spans="1:1" x14ac:dyDescent="0.25">
      <c r="A43" t="s">
        <v>3465</v>
      </c>
    </row>
    <row r="44" spans="1:1" x14ac:dyDescent="0.25">
      <c r="A44" t="s">
        <v>3466</v>
      </c>
    </row>
    <row r="45" spans="1:1" x14ac:dyDescent="0.25">
      <c r="A45" t="s">
        <v>3467</v>
      </c>
    </row>
    <row r="46" spans="1:1" x14ac:dyDescent="0.25">
      <c r="A46" t="s">
        <v>3468</v>
      </c>
    </row>
    <row r="47" spans="1:1" x14ac:dyDescent="0.25">
      <c r="A47" t="s">
        <v>3469</v>
      </c>
    </row>
    <row r="48" spans="1:1" x14ac:dyDescent="0.25">
      <c r="A48" t="s">
        <v>3470</v>
      </c>
    </row>
    <row r="49" spans="1:1" x14ac:dyDescent="0.25">
      <c r="A49" t="s">
        <v>3471</v>
      </c>
    </row>
    <row r="50" spans="1:1" x14ac:dyDescent="0.25">
      <c r="A50" t="s">
        <v>3472</v>
      </c>
    </row>
    <row r="51" spans="1:1" x14ac:dyDescent="0.25">
      <c r="A51" t="s">
        <v>3473</v>
      </c>
    </row>
    <row r="52" spans="1:1" x14ac:dyDescent="0.25">
      <c r="A52" t="s">
        <v>3474</v>
      </c>
    </row>
    <row r="53" spans="1:1" x14ac:dyDescent="0.25">
      <c r="A53" t="s">
        <v>3475</v>
      </c>
    </row>
    <row r="54" spans="1:1" x14ac:dyDescent="0.25">
      <c r="A54" t="s">
        <v>3476</v>
      </c>
    </row>
    <row r="55" spans="1:1" x14ac:dyDescent="0.25">
      <c r="A55" t="s">
        <v>3477</v>
      </c>
    </row>
    <row r="56" spans="1:1" x14ac:dyDescent="0.25">
      <c r="A56" t="s">
        <v>3478</v>
      </c>
    </row>
    <row r="57" spans="1:1" x14ac:dyDescent="0.25">
      <c r="A57" t="s">
        <v>3479</v>
      </c>
    </row>
    <row r="58" spans="1:1" x14ac:dyDescent="0.25">
      <c r="A58" t="s">
        <v>3480</v>
      </c>
    </row>
    <row r="59" spans="1:1" x14ac:dyDescent="0.25">
      <c r="A59" t="s">
        <v>3481</v>
      </c>
    </row>
    <row r="60" spans="1:1" x14ac:dyDescent="0.25">
      <c r="A60" t="s">
        <v>3482</v>
      </c>
    </row>
    <row r="61" spans="1:1" x14ac:dyDescent="0.25">
      <c r="A61" t="s">
        <v>3483</v>
      </c>
    </row>
    <row r="62" spans="1:1" x14ac:dyDescent="0.25">
      <c r="A62" t="s">
        <v>3484</v>
      </c>
    </row>
    <row r="63" spans="1:1" x14ac:dyDescent="0.25">
      <c r="A63" t="s">
        <v>3485</v>
      </c>
    </row>
    <row r="64" spans="1:1" x14ac:dyDescent="0.25">
      <c r="A64" t="s">
        <v>3486</v>
      </c>
    </row>
    <row r="65" spans="1:1" x14ac:dyDescent="0.25">
      <c r="A65" t="s">
        <v>3487</v>
      </c>
    </row>
    <row r="66" spans="1:1" x14ac:dyDescent="0.25">
      <c r="A66" t="s">
        <v>3488</v>
      </c>
    </row>
    <row r="67" spans="1:1" x14ac:dyDescent="0.25">
      <c r="A67" t="s">
        <v>3489</v>
      </c>
    </row>
    <row r="68" spans="1:1" x14ac:dyDescent="0.25">
      <c r="A68" t="s">
        <v>3490</v>
      </c>
    </row>
    <row r="69" spans="1:1" x14ac:dyDescent="0.25">
      <c r="A69" t="s">
        <v>3491</v>
      </c>
    </row>
    <row r="70" spans="1:1" x14ac:dyDescent="0.25">
      <c r="A70" t="s">
        <v>3492</v>
      </c>
    </row>
    <row r="71" spans="1:1" x14ac:dyDescent="0.25">
      <c r="A71" t="s">
        <v>3493</v>
      </c>
    </row>
    <row r="72" spans="1:1" x14ac:dyDescent="0.25">
      <c r="A72" t="s">
        <v>3494</v>
      </c>
    </row>
    <row r="73" spans="1:1" x14ac:dyDescent="0.25">
      <c r="A73" t="s">
        <v>3495</v>
      </c>
    </row>
    <row r="74" spans="1:1" x14ac:dyDescent="0.25">
      <c r="A74" t="s">
        <v>3496</v>
      </c>
    </row>
    <row r="75" spans="1:1" x14ac:dyDescent="0.25">
      <c r="A75" t="s">
        <v>3497</v>
      </c>
    </row>
    <row r="76" spans="1:1" x14ac:dyDescent="0.25">
      <c r="A76" t="s">
        <v>3498</v>
      </c>
    </row>
    <row r="77" spans="1:1" x14ac:dyDescent="0.25">
      <c r="A77" t="s">
        <v>3499</v>
      </c>
    </row>
    <row r="78" spans="1:1" x14ac:dyDescent="0.25">
      <c r="A78" t="s">
        <v>3500</v>
      </c>
    </row>
    <row r="79" spans="1:1" x14ac:dyDescent="0.25">
      <c r="A79" t="s">
        <v>3501</v>
      </c>
    </row>
    <row r="80" spans="1:1" x14ac:dyDescent="0.25">
      <c r="A80" t="s">
        <v>3502</v>
      </c>
    </row>
    <row r="81" spans="1:1" x14ac:dyDescent="0.25">
      <c r="A81" t="s">
        <v>3503</v>
      </c>
    </row>
    <row r="82" spans="1:1" x14ac:dyDescent="0.25">
      <c r="A82" t="s">
        <v>3504</v>
      </c>
    </row>
    <row r="83" spans="1:1" x14ac:dyDescent="0.25">
      <c r="A83" t="s">
        <v>3505</v>
      </c>
    </row>
    <row r="84" spans="1:1" x14ac:dyDescent="0.25">
      <c r="A84" t="s">
        <v>3506</v>
      </c>
    </row>
    <row r="85" spans="1:1" x14ac:dyDescent="0.25">
      <c r="A85" t="s">
        <v>3507</v>
      </c>
    </row>
    <row r="86" spans="1:1" x14ac:dyDescent="0.25">
      <c r="A86" t="s">
        <v>3508</v>
      </c>
    </row>
    <row r="87" spans="1:1" x14ac:dyDescent="0.25">
      <c r="A87" t="s">
        <v>3509</v>
      </c>
    </row>
    <row r="88" spans="1:1" x14ac:dyDescent="0.25">
      <c r="A88" t="s">
        <v>3510</v>
      </c>
    </row>
    <row r="89" spans="1:1" x14ac:dyDescent="0.25">
      <c r="A89" t="s">
        <v>3511</v>
      </c>
    </row>
    <row r="90" spans="1:1" x14ac:dyDescent="0.25">
      <c r="A90" t="s">
        <v>3512</v>
      </c>
    </row>
    <row r="91" spans="1:1" x14ac:dyDescent="0.25">
      <c r="A91" t="s">
        <v>3513</v>
      </c>
    </row>
    <row r="92" spans="1:1" x14ac:dyDescent="0.25">
      <c r="A92" t="s">
        <v>3514</v>
      </c>
    </row>
    <row r="93" spans="1:1" x14ac:dyDescent="0.25">
      <c r="A93" t="s">
        <v>3515</v>
      </c>
    </row>
    <row r="94" spans="1:1" x14ac:dyDescent="0.25">
      <c r="A94" t="s">
        <v>3516</v>
      </c>
    </row>
    <row r="95" spans="1:1" x14ac:dyDescent="0.25">
      <c r="A95" t="s">
        <v>3517</v>
      </c>
    </row>
    <row r="96" spans="1:1" x14ac:dyDescent="0.25">
      <c r="A96" t="s">
        <v>3518</v>
      </c>
    </row>
    <row r="97" spans="1:1" x14ac:dyDescent="0.25">
      <c r="A97" t="s">
        <v>3519</v>
      </c>
    </row>
    <row r="98" spans="1:1" x14ac:dyDescent="0.25">
      <c r="A98" t="s">
        <v>3520</v>
      </c>
    </row>
    <row r="99" spans="1:1" x14ac:dyDescent="0.25">
      <c r="A99" t="s">
        <v>3521</v>
      </c>
    </row>
    <row r="100" spans="1:1" x14ac:dyDescent="0.25">
      <c r="A100" t="s">
        <v>3522</v>
      </c>
    </row>
  </sheetData>
  <hyperlinks>
    <hyperlink ref="B1" r:id="rId1" display="\\10.138.232.172\sjain10\git_ws\kCluster_base4\programs\royale\my2023\kcluster\bsw-gen\Appl\GenData\Os_Types_Lcfg.h" xr:uid="{00000000-0004-0000-0C00-000000000000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23554" r:id="rId5" name="cmdImportAlarm">
          <controlPr defaultSize="0" autoLine="0" autoPict="0" r:id="rId6">
            <anchor moveWithCells="1">
              <from>
                <xdr:col>0</xdr:col>
                <xdr:colOff>561975</xdr:colOff>
                <xdr:row>1</xdr:row>
                <xdr:rowOff>76200</xdr:rowOff>
              </from>
              <to>
                <xdr:col>0</xdr:col>
                <xdr:colOff>2705100</xdr:colOff>
                <xdr:row>3</xdr:row>
                <xdr:rowOff>142875</xdr:rowOff>
              </to>
            </anchor>
          </controlPr>
        </control>
      </mc:Choice>
      <mc:Fallback>
        <control shapeId="23554" r:id="rId5" name="cmdImportAlarm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tabColor theme="5" tint="0.39997558519241921"/>
  </sheetPr>
  <dimension ref="A1:G313"/>
  <sheetViews>
    <sheetView topLeftCell="A306" workbookViewId="0">
      <selection activeCell="A6" sqref="A6:A313"/>
    </sheetView>
  </sheetViews>
  <sheetFormatPr defaultRowHeight="15" x14ac:dyDescent="0.25"/>
  <cols>
    <col min="1" max="1" width="104.5703125" bestFit="1" customWidth="1"/>
    <col min="2" max="2" width="66.5703125" customWidth="1"/>
    <col min="5" max="5" width="24.140625" customWidth="1"/>
  </cols>
  <sheetData>
    <row r="1" spans="1:7" x14ac:dyDescent="0.25">
      <c r="A1" t="s">
        <v>1083</v>
      </c>
      <c r="B1" s="62" t="s">
        <v>2830</v>
      </c>
    </row>
    <row r="4" spans="1:7" x14ac:dyDescent="0.25">
      <c r="B4" s="191" t="s">
        <v>2800</v>
      </c>
      <c r="C4" s="191"/>
      <c r="D4" s="191"/>
      <c r="E4" s="191"/>
      <c r="F4" s="191"/>
      <c r="G4" s="191"/>
    </row>
    <row r="5" spans="1:7" x14ac:dyDescent="0.25">
      <c r="A5" s="42" t="s">
        <v>698</v>
      </c>
      <c r="B5" s="109" t="s">
        <v>2799</v>
      </c>
    </row>
    <row r="6" spans="1:7" x14ac:dyDescent="0.25">
      <c r="A6" t="s">
        <v>3151</v>
      </c>
      <c r="B6" t="s">
        <v>3305</v>
      </c>
    </row>
    <row r="7" spans="1:7" x14ac:dyDescent="0.25">
      <c r="A7" t="s">
        <v>3523</v>
      </c>
      <c r="B7" t="s">
        <v>3306</v>
      </c>
    </row>
    <row r="8" spans="1:7" x14ac:dyDescent="0.25">
      <c r="A8" t="s">
        <v>3524</v>
      </c>
      <c r="B8" t="s">
        <v>3307</v>
      </c>
    </row>
    <row r="9" spans="1:7" x14ac:dyDescent="0.25">
      <c r="A9" t="s">
        <v>3525</v>
      </c>
      <c r="B9" t="s">
        <v>3297</v>
      </c>
    </row>
    <row r="10" spans="1:7" x14ac:dyDescent="0.25">
      <c r="A10" t="s">
        <v>3526</v>
      </c>
      <c r="B10" t="s">
        <v>3298</v>
      </c>
    </row>
    <row r="11" spans="1:7" x14ac:dyDescent="0.25">
      <c r="A11" t="s">
        <v>3152</v>
      </c>
      <c r="B11" t="s">
        <v>3299</v>
      </c>
    </row>
    <row r="12" spans="1:7" x14ac:dyDescent="0.25">
      <c r="A12" t="s">
        <v>3153</v>
      </c>
      <c r="B12" t="s">
        <v>3300</v>
      </c>
    </row>
    <row r="13" spans="1:7" x14ac:dyDescent="0.25">
      <c r="A13" t="s">
        <v>3527</v>
      </c>
      <c r="B13" t="s">
        <v>3301</v>
      </c>
    </row>
    <row r="14" spans="1:7" x14ac:dyDescent="0.25">
      <c r="A14" t="s">
        <v>3528</v>
      </c>
      <c r="B14" t="s">
        <v>3302</v>
      </c>
    </row>
    <row r="15" spans="1:7" x14ac:dyDescent="0.25">
      <c r="A15" t="s">
        <v>3154</v>
      </c>
      <c r="B15" t="s">
        <v>3303</v>
      </c>
    </row>
    <row r="16" spans="1:7" x14ac:dyDescent="0.25">
      <c r="A16" t="s">
        <v>3529</v>
      </c>
      <c r="B16" t="s">
        <v>3304</v>
      </c>
    </row>
    <row r="17" spans="1:1" x14ac:dyDescent="0.25">
      <c r="A17" t="s">
        <v>3530</v>
      </c>
    </row>
    <row r="18" spans="1:1" x14ac:dyDescent="0.25">
      <c r="A18" t="s">
        <v>3531</v>
      </c>
    </row>
    <row r="19" spans="1:1" x14ac:dyDescent="0.25">
      <c r="A19" t="s">
        <v>3532</v>
      </c>
    </row>
    <row r="20" spans="1:1" x14ac:dyDescent="0.25">
      <c r="A20" t="s">
        <v>3533</v>
      </c>
    </row>
    <row r="21" spans="1:1" x14ac:dyDescent="0.25">
      <c r="A21" t="s">
        <v>3534</v>
      </c>
    </row>
    <row r="22" spans="1:1" x14ac:dyDescent="0.25">
      <c r="A22" t="s">
        <v>3535</v>
      </c>
    </row>
    <row r="23" spans="1:1" x14ac:dyDescent="0.25">
      <c r="A23" t="s">
        <v>3536</v>
      </c>
    </row>
    <row r="24" spans="1:1" x14ac:dyDescent="0.25">
      <c r="A24" t="s">
        <v>3537</v>
      </c>
    </row>
    <row r="25" spans="1:1" x14ac:dyDescent="0.25">
      <c r="A25" t="s">
        <v>3538</v>
      </c>
    </row>
    <row r="26" spans="1:1" x14ac:dyDescent="0.25">
      <c r="A26" t="s">
        <v>3539</v>
      </c>
    </row>
    <row r="27" spans="1:1" x14ac:dyDescent="0.25">
      <c r="A27" t="s">
        <v>3540</v>
      </c>
    </row>
    <row r="28" spans="1:1" x14ac:dyDescent="0.25">
      <c r="A28" t="s">
        <v>3541</v>
      </c>
    </row>
    <row r="29" spans="1:1" x14ac:dyDescent="0.25">
      <c r="A29" t="s">
        <v>3542</v>
      </c>
    </row>
    <row r="30" spans="1:1" x14ac:dyDescent="0.25">
      <c r="A30" t="s">
        <v>3543</v>
      </c>
    </row>
    <row r="31" spans="1:1" x14ac:dyDescent="0.25">
      <c r="A31" t="s">
        <v>3544</v>
      </c>
    </row>
    <row r="32" spans="1:1" x14ac:dyDescent="0.25">
      <c r="A32" t="s">
        <v>3545</v>
      </c>
    </row>
    <row r="33" spans="1:1" x14ac:dyDescent="0.25">
      <c r="A33" t="s">
        <v>3546</v>
      </c>
    </row>
    <row r="34" spans="1:1" x14ac:dyDescent="0.25">
      <c r="A34" t="s">
        <v>3547</v>
      </c>
    </row>
    <row r="35" spans="1:1" x14ac:dyDescent="0.25">
      <c r="A35" t="s">
        <v>3548</v>
      </c>
    </row>
    <row r="36" spans="1:1" x14ac:dyDescent="0.25">
      <c r="A36" t="s">
        <v>3155</v>
      </c>
    </row>
    <row r="37" spans="1:1" x14ac:dyDescent="0.25">
      <c r="A37" t="s">
        <v>3156</v>
      </c>
    </row>
    <row r="38" spans="1:1" x14ac:dyDescent="0.25">
      <c r="A38" t="s">
        <v>3549</v>
      </c>
    </row>
    <row r="39" spans="1:1" x14ac:dyDescent="0.25">
      <c r="A39" t="s">
        <v>3550</v>
      </c>
    </row>
    <row r="40" spans="1:1" x14ac:dyDescent="0.25">
      <c r="A40" t="s">
        <v>3157</v>
      </c>
    </row>
    <row r="41" spans="1:1" x14ac:dyDescent="0.25">
      <c r="A41" t="s">
        <v>3551</v>
      </c>
    </row>
    <row r="42" spans="1:1" x14ac:dyDescent="0.25">
      <c r="A42" t="s">
        <v>3158</v>
      </c>
    </row>
    <row r="43" spans="1:1" x14ac:dyDescent="0.25">
      <c r="A43" t="s">
        <v>3159</v>
      </c>
    </row>
    <row r="44" spans="1:1" x14ac:dyDescent="0.25">
      <c r="A44" t="s">
        <v>3552</v>
      </c>
    </row>
    <row r="45" spans="1:1" x14ac:dyDescent="0.25">
      <c r="A45" t="s">
        <v>3553</v>
      </c>
    </row>
    <row r="46" spans="1:1" x14ac:dyDescent="0.25">
      <c r="A46" t="s">
        <v>3554</v>
      </c>
    </row>
    <row r="47" spans="1:1" x14ac:dyDescent="0.25">
      <c r="A47" t="s">
        <v>3555</v>
      </c>
    </row>
    <row r="48" spans="1:1" x14ac:dyDescent="0.25">
      <c r="A48" t="s">
        <v>3556</v>
      </c>
    </row>
    <row r="49" spans="1:1" x14ac:dyDescent="0.25">
      <c r="A49" t="s">
        <v>3557</v>
      </c>
    </row>
    <row r="50" spans="1:1" x14ac:dyDescent="0.25">
      <c r="A50" t="s">
        <v>3558</v>
      </c>
    </row>
    <row r="51" spans="1:1" x14ac:dyDescent="0.25">
      <c r="A51" t="s">
        <v>3559</v>
      </c>
    </row>
    <row r="52" spans="1:1" x14ac:dyDescent="0.25">
      <c r="A52" t="s">
        <v>3560</v>
      </c>
    </row>
    <row r="53" spans="1:1" x14ac:dyDescent="0.25">
      <c r="A53" t="s">
        <v>3561</v>
      </c>
    </row>
    <row r="54" spans="1:1" x14ac:dyDescent="0.25">
      <c r="A54" t="s">
        <v>3562</v>
      </c>
    </row>
    <row r="55" spans="1:1" x14ac:dyDescent="0.25">
      <c r="A55" t="s">
        <v>3563</v>
      </c>
    </row>
    <row r="56" spans="1:1" x14ac:dyDescent="0.25">
      <c r="A56" t="s">
        <v>3160</v>
      </c>
    </row>
    <row r="57" spans="1:1" x14ac:dyDescent="0.25">
      <c r="A57" t="s">
        <v>3161</v>
      </c>
    </row>
    <row r="58" spans="1:1" x14ac:dyDescent="0.25">
      <c r="A58" t="s">
        <v>3564</v>
      </c>
    </row>
    <row r="59" spans="1:1" x14ac:dyDescent="0.25">
      <c r="A59" t="s">
        <v>3565</v>
      </c>
    </row>
    <row r="60" spans="1:1" x14ac:dyDescent="0.25">
      <c r="A60" t="s">
        <v>3566</v>
      </c>
    </row>
    <row r="61" spans="1:1" x14ac:dyDescent="0.25">
      <c r="A61" t="s">
        <v>3567</v>
      </c>
    </row>
    <row r="62" spans="1:1" x14ac:dyDescent="0.25">
      <c r="A62" t="s">
        <v>3568</v>
      </c>
    </row>
    <row r="63" spans="1:1" x14ac:dyDescent="0.25">
      <c r="A63" t="s">
        <v>3162</v>
      </c>
    </row>
    <row r="64" spans="1:1" x14ac:dyDescent="0.25">
      <c r="A64" t="s">
        <v>3569</v>
      </c>
    </row>
    <row r="65" spans="1:1" x14ac:dyDescent="0.25">
      <c r="A65" t="s">
        <v>3570</v>
      </c>
    </row>
    <row r="66" spans="1:1" x14ac:dyDescent="0.25">
      <c r="A66" t="s">
        <v>3571</v>
      </c>
    </row>
    <row r="67" spans="1:1" x14ac:dyDescent="0.25">
      <c r="A67" t="s">
        <v>3572</v>
      </c>
    </row>
    <row r="68" spans="1:1" x14ac:dyDescent="0.25">
      <c r="A68" t="s">
        <v>3573</v>
      </c>
    </row>
    <row r="69" spans="1:1" x14ac:dyDescent="0.25">
      <c r="A69" t="s">
        <v>3574</v>
      </c>
    </row>
    <row r="70" spans="1:1" x14ac:dyDescent="0.25">
      <c r="A70" t="s">
        <v>3163</v>
      </c>
    </row>
    <row r="71" spans="1:1" x14ac:dyDescent="0.25">
      <c r="A71" t="s">
        <v>3164</v>
      </c>
    </row>
    <row r="72" spans="1:1" x14ac:dyDescent="0.25">
      <c r="A72" t="s">
        <v>3575</v>
      </c>
    </row>
    <row r="73" spans="1:1" x14ac:dyDescent="0.25">
      <c r="A73" t="s">
        <v>3576</v>
      </c>
    </row>
    <row r="74" spans="1:1" x14ac:dyDescent="0.25">
      <c r="A74" t="s">
        <v>3577</v>
      </c>
    </row>
    <row r="75" spans="1:1" x14ac:dyDescent="0.25">
      <c r="A75" t="s">
        <v>3578</v>
      </c>
    </row>
    <row r="76" spans="1:1" x14ac:dyDescent="0.25">
      <c r="A76" t="s">
        <v>3579</v>
      </c>
    </row>
    <row r="77" spans="1:1" x14ac:dyDescent="0.25">
      <c r="A77" t="s">
        <v>3580</v>
      </c>
    </row>
    <row r="78" spans="1:1" x14ac:dyDescent="0.25">
      <c r="A78" t="s">
        <v>3581</v>
      </c>
    </row>
    <row r="79" spans="1:1" x14ac:dyDescent="0.25">
      <c r="A79" t="s">
        <v>3582</v>
      </c>
    </row>
    <row r="80" spans="1:1" x14ac:dyDescent="0.25">
      <c r="A80" t="s">
        <v>3583</v>
      </c>
    </row>
    <row r="81" spans="1:1" x14ac:dyDescent="0.25">
      <c r="A81" t="s">
        <v>3584</v>
      </c>
    </row>
    <row r="82" spans="1:1" x14ac:dyDescent="0.25">
      <c r="A82" t="s">
        <v>3585</v>
      </c>
    </row>
    <row r="83" spans="1:1" x14ac:dyDescent="0.25">
      <c r="A83" t="s">
        <v>3586</v>
      </c>
    </row>
    <row r="84" spans="1:1" x14ac:dyDescent="0.25">
      <c r="A84" t="s">
        <v>3587</v>
      </c>
    </row>
    <row r="85" spans="1:1" x14ac:dyDescent="0.25">
      <c r="A85" t="s">
        <v>3588</v>
      </c>
    </row>
    <row r="86" spans="1:1" x14ac:dyDescent="0.25">
      <c r="A86" t="s">
        <v>3165</v>
      </c>
    </row>
    <row r="87" spans="1:1" x14ac:dyDescent="0.25">
      <c r="A87" t="s">
        <v>3166</v>
      </c>
    </row>
    <row r="88" spans="1:1" x14ac:dyDescent="0.25">
      <c r="A88" t="s">
        <v>3589</v>
      </c>
    </row>
    <row r="89" spans="1:1" x14ac:dyDescent="0.25">
      <c r="A89" t="s">
        <v>3590</v>
      </c>
    </row>
    <row r="90" spans="1:1" x14ac:dyDescent="0.25">
      <c r="A90" t="s">
        <v>3167</v>
      </c>
    </row>
    <row r="91" spans="1:1" x14ac:dyDescent="0.25">
      <c r="A91" t="s">
        <v>3168</v>
      </c>
    </row>
    <row r="92" spans="1:1" x14ac:dyDescent="0.25">
      <c r="A92" t="s">
        <v>3591</v>
      </c>
    </row>
    <row r="93" spans="1:1" x14ac:dyDescent="0.25">
      <c r="A93" t="s">
        <v>3592</v>
      </c>
    </row>
    <row r="94" spans="1:1" x14ac:dyDescent="0.25">
      <c r="A94" t="s">
        <v>3593</v>
      </c>
    </row>
    <row r="95" spans="1:1" x14ac:dyDescent="0.25">
      <c r="A95" t="s">
        <v>3594</v>
      </c>
    </row>
    <row r="96" spans="1:1" x14ac:dyDescent="0.25">
      <c r="A96" t="s">
        <v>3595</v>
      </c>
    </row>
    <row r="97" spans="1:1" x14ac:dyDescent="0.25">
      <c r="A97" t="s">
        <v>3596</v>
      </c>
    </row>
    <row r="98" spans="1:1" x14ac:dyDescent="0.25">
      <c r="A98" t="s">
        <v>3597</v>
      </c>
    </row>
    <row r="99" spans="1:1" x14ac:dyDescent="0.25">
      <c r="A99" t="s">
        <v>3598</v>
      </c>
    </row>
    <row r="100" spans="1:1" x14ac:dyDescent="0.25">
      <c r="A100" t="s">
        <v>3169</v>
      </c>
    </row>
    <row r="101" spans="1:1" x14ac:dyDescent="0.25">
      <c r="A101" t="s">
        <v>3170</v>
      </c>
    </row>
    <row r="102" spans="1:1" x14ac:dyDescent="0.25">
      <c r="A102" t="s">
        <v>3599</v>
      </c>
    </row>
    <row r="103" spans="1:1" x14ac:dyDescent="0.25">
      <c r="A103" t="s">
        <v>3600</v>
      </c>
    </row>
    <row r="104" spans="1:1" x14ac:dyDescent="0.25">
      <c r="A104" t="s">
        <v>3601</v>
      </c>
    </row>
    <row r="105" spans="1:1" x14ac:dyDescent="0.25">
      <c r="A105" t="s">
        <v>3602</v>
      </c>
    </row>
    <row r="106" spans="1:1" x14ac:dyDescent="0.25">
      <c r="A106" t="s">
        <v>3603</v>
      </c>
    </row>
    <row r="107" spans="1:1" x14ac:dyDescent="0.25">
      <c r="A107" t="s">
        <v>3604</v>
      </c>
    </row>
    <row r="108" spans="1:1" x14ac:dyDescent="0.25">
      <c r="A108" t="s">
        <v>3605</v>
      </c>
    </row>
    <row r="109" spans="1:1" x14ac:dyDescent="0.25">
      <c r="A109" t="s">
        <v>3171</v>
      </c>
    </row>
    <row r="110" spans="1:1" x14ac:dyDescent="0.25">
      <c r="A110" t="s">
        <v>3172</v>
      </c>
    </row>
    <row r="111" spans="1:1" x14ac:dyDescent="0.25">
      <c r="A111" t="s">
        <v>3173</v>
      </c>
    </row>
    <row r="112" spans="1:1" x14ac:dyDescent="0.25">
      <c r="A112" t="s">
        <v>3174</v>
      </c>
    </row>
    <row r="113" spans="1:1" x14ac:dyDescent="0.25">
      <c r="A113" t="s">
        <v>3175</v>
      </c>
    </row>
    <row r="114" spans="1:1" x14ac:dyDescent="0.25">
      <c r="A114" t="s">
        <v>3176</v>
      </c>
    </row>
    <row r="115" spans="1:1" x14ac:dyDescent="0.25">
      <c r="A115" t="s">
        <v>3177</v>
      </c>
    </row>
    <row r="116" spans="1:1" x14ac:dyDescent="0.25">
      <c r="A116" t="s">
        <v>3178</v>
      </c>
    </row>
    <row r="117" spans="1:1" x14ac:dyDescent="0.25">
      <c r="A117" t="s">
        <v>3606</v>
      </c>
    </row>
    <row r="118" spans="1:1" x14ac:dyDescent="0.25">
      <c r="A118" t="s">
        <v>3607</v>
      </c>
    </row>
    <row r="119" spans="1:1" x14ac:dyDescent="0.25">
      <c r="A119" t="s">
        <v>3608</v>
      </c>
    </row>
    <row r="120" spans="1:1" x14ac:dyDescent="0.25">
      <c r="A120" t="s">
        <v>3609</v>
      </c>
    </row>
    <row r="121" spans="1:1" x14ac:dyDescent="0.25">
      <c r="A121" t="s">
        <v>3610</v>
      </c>
    </row>
    <row r="122" spans="1:1" x14ac:dyDescent="0.25">
      <c r="A122" t="s">
        <v>3179</v>
      </c>
    </row>
    <row r="123" spans="1:1" x14ac:dyDescent="0.25">
      <c r="A123" t="s">
        <v>3180</v>
      </c>
    </row>
    <row r="124" spans="1:1" x14ac:dyDescent="0.25">
      <c r="A124" t="s">
        <v>3611</v>
      </c>
    </row>
    <row r="125" spans="1:1" x14ac:dyDescent="0.25">
      <c r="A125" t="s">
        <v>3612</v>
      </c>
    </row>
    <row r="126" spans="1:1" x14ac:dyDescent="0.25">
      <c r="A126" t="s">
        <v>3181</v>
      </c>
    </row>
    <row r="127" spans="1:1" x14ac:dyDescent="0.25">
      <c r="A127" t="s">
        <v>3182</v>
      </c>
    </row>
    <row r="128" spans="1:1" x14ac:dyDescent="0.25">
      <c r="A128" t="s">
        <v>3183</v>
      </c>
    </row>
    <row r="129" spans="1:1" x14ac:dyDescent="0.25">
      <c r="A129" t="s">
        <v>3184</v>
      </c>
    </row>
    <row r="130" spans="1:1" x14ac:dyDescent="0.25">
      <c r="A130" t="s">
        <v>3185</v>
      </c>
    </row>
    <row r="131" spans="1:1" x14ac:dyDescent="0.25">
      <c r="A131" t="s">
        <v>3186</v>
      </c>
    </row>
    <row r="132" spans="1:1" x14ac:dyDescent="0.25">
      <c r="A132" t="s">
        <v>3187</v>
      </c>
    </row>
    <row r="133" spans="1:1" x14ac:dyDescent="0.25">
      <c r="A133" t="s">
        <v>3188</v>
      </c>
    </row>
    <row r="134" spans="1:1" x14ac:dyDescent="0.25">
      <c r="A134" t="s">
        <v>3189</v>
      </c>
    </row>
    <row r="135" spans="1:1" x14ac:dyDescent="0.25">
      <c r="A135" t="s">
        <v>3190</v>
      </c>
    </row>
    <row r="136" spans="1:1" x14ac:dyDescent="0.25">
      <c r="A136" t="s">
        <v>3191</v>
      </c>
    </row>
    <row r="137" spans="1:1" x14ac:dyDescent="0.25">
      <c r="A137" t="s">
        <v>3192</v>
      </c>
    </row>
    <row r="138" spans="1:1" x14ac:dyDescent="0.25">
      <c r="A138" t="s">
        <v>3193</v>
      </c>
    </row>
    <row r="139" spans="1:1" x14ac:dyDescent="0.25">
      <c r="A139" t="s">
        <v>3194</v>
      </c>
    </row>
    <row r="140" spans="1:1" x14ac:dyDescent="0.25">
      <c r="A140" t="s">
        <v>3195</v>
      </c>
    </row>
    <row r="141" spans="1:1" x14ac:dyDescent="0.25">
      <c r="A141" t="s">
        <v>3196</v>
      </c>
    </row>
    <row r="142" spans="1:1" x14ac:dyDescent="0.25">
      <c r="A142" t="s">
        <v>3197</v>
      </c>
    </row>
    <row r="143" spans="1:1" x14ac:dyDescent="0.25">
      <c r="A143" t="s">
        <v>3198</v>
      </c>
    </row>
    <row r="144" spans="1:1" x14ac:dyDescent="0.25">
      <c r="A144" t="s">
        <v>3199</v>
      </c>
    </row>
    <row r="145" spans="1:1" x14ac:dyDescent="0.25">
      <c r="A145" t="s">
        <v>3200</v>
      </c>
    </row>
    <row r="146" spans="1:1" x14ac:dyDescent="0.25">
      <c r="A146" t="s">
        <v>3201</v>
      </c>
    </row>
    <row r="147" spans="1:1" x14ac:dyDescent="0.25">
      <c r="A147" t="s">
        <v>3202</v>
      </c>
    </row>
    <row r="148" spans="1:1" x14ac:dyDescent="0.25">
      <c r="A148" t="s">
        <v>3203</v>
      </c>
    </row>
    <row r="149" spans="1:1" x14ac:dyDescent="0.25">
      <c r="A149" t="s">
        <v>3204</v>
      </c>
    </row>
    <row r="150" spans="1:1" x14ac:dyDescent="0.25">
      <c r="A150" t="s">
        <v>3205</v>
      </c>
    </row>
    <row r="151" spans="1:1" x14ac:dyDescent="0.25">
      <c r="A151" t="s">
        <v>3206</v>
      </c>
    </row>
    <row r="152" spans="1:1" x14ac:dyDescent="0.25">
      <c r="A152" t="s">
        <v>3207</v>
      </c>
    </row>
    <row r="153" spans="1:1" x14ac:dyDescent="0.25">
      <c r="A153" t="s">
        <v>3208</v>
      </c>
    </row>
    <row r="154" spans="1:1" x14ac:dyDescent="0.25">
      <c r="A154" t="s">
        <v>3209</v>
      </c>
    </row>
    <row r="155" spans="1:1" x14ac:dyDescent="0.25">
      <c r="A155" t="s">
        <v>3210</v>
      </c>
    </row>
    <row r="156" spans="1:1" x14ac:dyDescent="0.25">
      <c r="A156" t="s">
        <v>3211</v>
      </c>
    </row>
    <row r="157" spans="1:1" x14ac:dyDescent="0.25">
      <c r="A157" t="s">
        <v>3212</v>
      </c>
    </row>
    <row r="158" spans="1:1" x14ac:dyDescent="0.25">
      <c r="A158" t="s">
        <v>3213</v>
      </c>
    </row>
    <row r="159" spans="1:1" x14ac:dyDescent="0.25">
      <c r="A159" t="s">
        <v>3214</v>
      </c>
    </row>
    <row r="160" spans="1:1" x14ac:dyDescent="0.25">
      <c r="A160" t="s">
        <v>3215</v>
      </c>
    </row>
    <row r="161" spans="1:1" x14ac:dyDescent="0.25">
      <c r="A161" t="s">
        <v>3216</v>
      </c>
    </row>
    <row r="162" spans="1:1" x14ac:dyDescent="0.25">
      <c r="A162" t="s">
        <v>3217</v>
      </c>
    </row>
    <row r="163" spans="1:1" x14ac:dyDescent="0.25">
      <c r="A163" t="s">
        <v>3218</v>
      </c>
    </row>
    <row r="164" spans="1:1" x14ac:dyDescent="0.25">
      <c r="A164" t="s">
        <v>3219</v>
      </c>
    </row>
    <row r="165" spans="1:1" x14ac:dyDescent="0.25">
      <c r="A165" t="s">
        <v>3220</v>
      </c>
    </row>
    <row r="166" spans="1:1" x14ac:dyDescent="0.25">
      <c r="A166" t="s">
        <v>3221</v>
      </c>
    </row>
    <row r="167" spans="1:1" x14ac:dyDescent="0.25">
      <c r="A167" t="s">
        <v>3222</v>
      </c>
    </row>
    <row r="168" spans="1:1" x14ac:dyDescent="0.25">
      <c r="A168" t="s">
        <v>3223</v>
      </c>
    </row>
    <row r="169" spans="1:1" x14ac:dyDescent="0.25">
      <c r="A169" t="s">
        <v>3224</v>
      </c>
    </row>
    <row r="170" spans="1:1" x14ac:dyDescent="0.25">
      <c r="A170" t="s">
        <v>3225</v>
      </c>
    </row>
    <row r="171" spans="1:1" x14ac:dyDescent="0.25">
      <c r="A171" t="s">
        <v>3226</v>
      </c>
    </row>
    <row r="172" spans="1:1" x14ac:dyDescent="0.25">
      <c r="A172" t="s">
        <v>3227</v>
      </c>
    </row>
    <row r="173" spans="1:1" x14ac:dyDescent="0.25">
      <c r="A173" t="s">
        <v>3228</v>
      </c>
    </row>
    <row r="174" spans="1:1" x14ac:dyDescent="0.25">
      <c r="A174" t="s">
        <v>3229</v>
      </c>
    </row>
    <row r="175" spans="1:1" x14ac:dyDescent="0.25">
      <c r="A175" t="s">
        <v>3230</v>
      </c>
    </row>
    <row r="176" spans="1:1" x14ac:dyDescent="0.25">
      <c r="A176" t="s">
        <v>3231</v>
      </c>
    </row>
    <row r="177" spans="1:1" x14ac:dyDescent="0.25">
      <c r="A177" t="s">
        <v>3232</v>
      </c>
    </row>
    <row r="178" spans="1:1" x14ac:dyDescent="0.25">
      <c r="A178" t="s">
        <v>3233</v>
      </c>
    </row>
    <row r="179" spans="1:1" x14ac:dyDescent="0.25">
      <c r="A179" t="s">
        <v>3234</v>
      </c>
    </row>
    <row r="180" spans="1:1" x14ac:dyDescent="0.25">
      <c r="A180" t="s">
        <v>3235</v>
      </c>
    </row>
    <row r="181" spans="1:1" x14ac:dyDescent="0.25">
      <c r="A181" t="s">
        <v>3236</v>
      </c>
    </row>
    <row r="182" spans="1:1" x14ac:dyDescent="0.25">
      <c r="A182" t="s">
        <v>3237</v>
      </c>
    </row>
    <row r="183" spans="1:1" x14ac:dyDescent="0.25">
      <c r="A183" t="s">
        <v>3238</v>
      </c>
    </row>
    <row r="184" spans="1:1" x14ac:dyDescent="0.25">
      <c r="A184" t="s">
        <v>3239</v>
      </c>
    </row>
    <row r="185" spans="1:1" x14ac:dyDescent="0.25">
      <c r="A185" t="s">
        <v>3240</v>
      </c>
    </row>
    <row r="186" spans="1:1" x14ac:dyDescent="0.25">
      <c r="A186" t="s">
        <v>3241</v>
      </c>
    </row>
    <row r="187" spans="1:1" x14ac:dyDescent="0.25">
      <c r="A187" t="s">
        <v>3242</v>
      </c>
    </row>
    <row r="188" spans="1:1" x14ac:dyDescent="0.25">
      <c r="A188" t="s">
        <v>3243</v>
      </c>
    </row>
    <row r="189" spans="1:1" x14ac:dyDescent="0.25">
      <c r="A189" t="s">
        <v>3244</v>
      </c>
    </row>
    <row r="190" spans="1:1" x14ac:dyDescent="0.25">
      <c r="A190" t="s">
        <v>3245</v>
      </c>
    </row>
    <row r="191" spans="1:1" x14ac:dyDescent="0.25">
      <c r="A191" t="s">
        <v>3246</v>
      </c>
    </row>
    <row r="192" spans="1:1" x14ac:dyDescent="0.25">
      <c r="A192" t="s">
        <v>3247</v>
      </c>
    </row>
    <row r="193" spans="1:1" x14ac:dyDescent="0.25">
      <c r="A193" t="s">
        <v>3248</v>
      </c>
    </row>
    <row r="194" spans="1:1" x14ac:dyDescent="0.25">
      <c r="A194" t="s">
        <v>3249</v>
      </c>
    </row>
    <row r="195" spans="1:1" x14ac:dyDescent="0.25">
      <c r="A195" t="s">
        <v>3250</v>
      </c>
    </row>
    <row r="196" spans="1:1" x14ac:dyDescent="0.25">
      <c r="A196" t="s">
        <v>3251</v>
      </c>
    </row>
    <row r="197" spans="1:1" x14ac:dyDescent="0.25">
      <c r="A197" t="s">
        <v>3252</v>
      </c>
    </row>
    <row r="198" spans="1:1" x14ac:dyDescent="0.25">
      <c r="A198" t="s">
        <v>3253</v>
      </c>
    </row>
    <row r="199" spans="1:1" x14ac:dyDescent="0.25">
      <c r="A199" t="s">
        <v>3254</v>
      </c>
    </row>
    <row r="200" spans="1:1" x14ac:dyDescent="0.25">
      <c r="A200" t="s">
        <v>3255</v>
      </c>
    </row>
    <row r="201" spans="1:1" x14ac:dyDescent="0.25">
      <c r="A201" t="s">
        <v>3256</v>
      </c>
    </row>
    <row r="202" spans="1:1" x14ac:dyDescent="0.25">
      <c r="A202" t="s">
        <v>3257</v>
      </c>
    </row>
    <row r="203" spans="1:1" x14ac:dyDescent="0.25">
      <c r="A203" t="s">
        <v>3258</v>
      </c>
    </row>
    <row r="204" spans="1:1" x14ac:dyDescent="0.25">
      <c r="A204" t="s">
        <v>3259</v>
      </c>
    </row>
    <row r="205" spans="1:1" x14ac:dyDescent="0.25">
      <c r="A205" t="s">
        <v>3260</v>
      </c>
    </row>
    <row r="206" spans="1:1" x14ac:dyDescent="0.25">
      <c r="A206" t="s">
        <v>3261</v>
      </c>
    </row>
    <row r="207" spans="1:1" x14ac:dyDescent="0.25">
      <c r="A207" t="s">
        <v>3262</v>
      </c>
    </row>
    <row r="208" spans="1:1" x14ac:dyDescent="0.25">
      <c r="A208" t="s">
        <v>3263</v>
      </c>
    </row>
    <row r="209" spans="1:1" x14ac:dyDescent="0.25">
      <c r="A209" t="s">
        <v>3264</v>
      </c>
    </row>
    <row r="210" spans="1:1" x14ac:dyDescent="0.25">
      <c r="A210" t="s">
        <v>3265</v>
      </c>
    </row>
    <row r="211" spans="1:1" x14ac:dyDescent="0.25">
      <c r="A211" t="s">
        <v>3266</v>
      </c>
    </row>
    <row r="212" spans="1:1" x14ac:dyDescent="0.25">
      <c r="A212" t="s">
        <v>3267</v>
      </c>
    </row>
    <row r="213" spans="1:1" x14ac:dyDescent="0.25">
      <c r="A213" t="s">
        <v>3268</v>
      </c>
    </row>
    <row r="214" spans="1:1" x14ac:dyDescent="0.25">
      <c r="A214" t="s">
        <v>3269</v>
      </c>
    </row>
    <row r="215" spans="1:1" x14ac:dyDescent="0.25">
      <c r="A215" t="s">
        <v>3270</v>
      </c>
    </row>
    <row r="216" spans="1:1" x14ac:dyDescent="0.25">
      <c r="A216" t="s">
        <v>3271</v>
      </c>
    </row>
    <row r="217" spans="1:1" x14ac:dyDescent="0.25">
      <c r="A217" t="s">
        <v>3272</v>
      </c>
    </row>
    <row r="218" spans="1:1" x14ac:dyDescent="0.25">
      <c r="A218" t="s">
        <v>3273</v>
      </c>
    </row>
    <row r="219" spans="1:1" x14ac:dyDescent="0.25">
      <c r="A219" t="s">
        <v>3274</v>
      </c>
    </row>
    <row r="220" spans="1:1" x14ac:dyDescent="0.25">
      <c r="A220" t="s">
        <v>3275</v>
      </c>
    </row>
    <row r="221" spans="1:1" x14ac:dyDescent="0.25">
      <c r="A221" t="s">
        <v>3276</v>
      </c>
    </row>
    <row r="222" spans="1:1" x14ac:dyDescent="0.25">
      <c r="A222" t="s">
        <v>3277</v>
      </c>
    </row>
    <row r="223" spans="1:1" x14ac:dyDescent="0.25">
      <c r="A223" t="s">
        <v>3278</v>
      </c>
    </row>
    <row r="224" spans="1:1" x14ac:dyDescent="0.25">
      <c r="A224" t="s">
        <v>3279</v>
      </c>
    </row>
    <row r="225" spans="1:1" x14ac:dyDescent="0.25">
      <c r="A225" t="s">
        <v>3280</v>
      </c>
    </row>
    <row r="226" spans="1:1" x14ac:dyDescent="0.25">
      <c r="A226" t="s">
        <v>3281</v>
      </c>
    </row>
    <row r="227" spans="1:1" x14ac:dyDescent="0.25">
      <c r="A227" t="s">
        <v>3282</v>
      </c>
    </row>
    <row r="228" spans="1:1" x14ac:dyDescent="0.25">
      <c r="A228" t="s">
        <v>3283</v>
      </c>
    </row>
    <row r="229" spans="1:1" x14ac:dyDescent="0.25">
      <c r="A229" t="s">
        <v>3284</v>
      </c>
    </row>
    <row r="230" spans="1:1" x14ac:dyDescent="0.25">
      <c r="A230" t="s">
        <v>3285</v>
      </c>
    </row>
    <row r="231" spans="1:1" x14ac:dyDescent="0.25">
      <c r="A231" t="s">
        <v>3286</v>
      </c>
    </row>
    <row r="232" spans="1:1" x14ac:dyDescent="0.25">
      <c r="A232" t="s">
        <v>3287</v>
      </c>
    </row>
    <row r="233" spans="1:1" x14ac:dyDescent="0.25">
      <c r="A233" t="s">
        <v>3288</v>
      </c>
    </row>
    <row r="234" spans="1:1" x14ac:dyDescent="0.25">
      <c r="A234" t="s">
        <v>3613</v>
      </c>
    </row>
    <row r="235" spans="1:1" x14ac:dyDescent="0.25">
      <c r="A235" t="s">
        <v>3614</v>
      </c>
    </row>
    <row r="236" spans="1:1" x14ac:dyDescent="0.25">
      <c r="A236" t="s">
        <v>3615</v>
      </c>
    </row>
    <row r="237" spans="1:1" x14ac:dyDescent="0.25">
      <c r="A237" t="s">
        <v>3616</v>
      </c>
    </row>
    <row r="238" spans="1:1" x14ac:dyDescent="0.25">
      <c r="A238" t="s">
        <v>3617</v>
      </c>
    </row>
    <row r="239" spans="1:1" x14ac:dyDescent="0.25">
      <c r="A239" t="s">
        <v>3618</v>
      </c>
    </row>
    <row r="240" spans="1:1" x14ac:dyDescent="0.25">
      <c r="A240" t="s">
        <v>3619</v>
      </c>
    </row>
    <row r="241" spans="1:1" x14ac:dyDescent="0.25">
      <c r="A241" t="s">
        <v>3620</v>
      </c>
    </row>
    <row r="242" spans="1:1" x14ac:dyDescent="0.25">
      <c r="A242" t="s">
        <v>3621</v>
      </c>
    </row>
    <row r="243" spans="1:1" x14ac:dyDescent="0.25">
      <c r="A243" t="s">
        <v>3622</v>
      </c>
    </row>
    <row r="244" spans="1:1" x14ac:dyDescent="0.25">
      <c r="A244" t="s">
        <v>3623</v>
      </c>
    </row>
    <row r="245" spans="1:1" x14ac:dyDescent="0.25">
      <c r="A245" t="s">
        <v>3624</v>
      </c>
    </row>
    <row r="246" spans="1:1" x14ac:dyDescent="0.25">
      <c r="A246" t="s">
        <v>3625</v>
      </c>
    </row>
    <row r="247" spans="1:1" x14ac:dyDescent="0.25">
      <c r="A247" t="s">
        <v>3626</v>
      </c>
    </row>
    <row r="248" spans="1:1" x14ac:dyDescent="0.25">
      <c r="A248" t="s">
        <v>3627</v>
      </c>
    </row>
    <row r="249" spans="1:1" x14ac:dyDescent="0.25">
      <c r="A249" t="s">
        <v>3628</v>
      </c>
    </row>
    <row r="250" spans="1:1" x14ac:dyDescent="0.25">
      <c r="A250" t="s">
        <v>3629</v>
      </c>
    </row>
    <row r="251" spans="1:1" x14ac:dyDescent="0.25">
      <c r="A251" t="s">
        <v>3630</v>
      </c>
    </row>
    <row r="252" spans="1:1" x14ac:dyDescent="0.25">
      <c r="A252" t="s">
        <v>3631</v>
      </c>
    </row>
    <row r="253" spans="1:1" x14ac:dyDescent="0.25">
      <c r="A253" t="s">
        <v>3632</v>
      </c>
    </row>
    <row r="254" spans="1:1" x14ac:dyDescent="0.25">
      <c r="A254" t="s">
        <v>3633</v>
      </c>
    </row>
    <row r="255" spans="1:1" x14ac:dyDescent="0.25">
      <c r="A255" t="s">
        <v>3634</v>
      </c>
    </row>
    <row r="256" spans="1:1" x14ac:dyDescent="0.25">
      <c r="A256" t="s">
        <v>3635</v>
      </c>
    </row>
    <row r="257" spans="1:1" x14ac:dyDescent="0.25">
      <c r="A257" t="s">
        <v>3636</v>
      </c>
    </row>
    <row r="258" spans="1:1" x14ac:dyDescent="0.25">
      <c r="A258" t="s">
        <v>3637</v>
      </c>
    </row>
    <row r="259" spans="1:1" x14ac:dyDescent="0.25">
      <c r="A259" t="s">
        <v>3638</v>
      </c>
    </row>
    <row r="260" spans="1:1" x14ac:dyDescent="0.25">
      <c r="A260" t="s">
        <v>3639</v>
      </c>
    </row>
    <row r="261" spans="1:1" x14ac:dyDescent="0.25">
      <c r="A261" t="s">
        <v>3640</v>
      </c>
    </row>
    <row r="262" spans="1:1" x14ac:dyDescent="0.25">
      <c r="A262" t="s">
        <v>3641</v>
      </c>
    </row>
    <row r="263" spans="1:1" x14ac:dyDescent="0.25">
      <c r="A263" t="s">
        <v>3642</v>
      </c>
    </row>
    <row r="264" spans="1:1" x14ac:dyDescent="0.25">
      <c r="A264" t="s">
        <v>3643</v>
      </c>
    </row>
    <row r="265" spans="1:1" x14ac:dyDescent="0.25">
      <c r="A265" t="s">
        <v>3644</v>
      </c>
    </row>
    <row r="266" spans="1:1" x14ac:dyDescent="0.25">
      <c r="A266" t="s">
        <v>3645</v>
      </c>
    </row>
    <row r="267" spans="1:1" x14ac:dyDescent="0.25">
      <c r="A267" t="s">
        <v>3646</v>
      </c>
    </row>
    <row r="268" spans="1:1" x14ac:dyDescent="0.25">
      <c r="A268" t="s">
        <v>3647</v>
      </c>
    </row>
    <row r="269" spans="1:1" x14ac:dyDescent="0.25">
      <c r="A269" t="s">
        <v>3648</v>
      </c>
    </row>
    <row r="270" spans="1:1" x14ac:dyDescent="0.25">
      <c r="A270" t="s">
        <v>3649</v>
      </c>
    </row>
    <row r="271" spans="1:1" x14ac:dyDescent="0.25">
      <c r="A271" t="s">
        <v>3650</v>
      </c>
    </row>
    <row r="272" spans="1:1" x14ac:dyDescent="0.25">
      <c r="A272" t="s">
        <v>3651</v>
      </c>
    </row>
    <row r="273" spans="1:1" x14ac:dyDescent="0.25">
      <c r="A273" t="s">
        <v>3652</v>
      </c>
    </row>
    <row r="274" spans="1:1" x14ac:dyDescent="0.25">
      <c r="A274" t="s">
        <v>3289</v>
      </c>
    </row>
    <row r="275" spans="1:1" x14ac:dyDescent="0.25">
      <c r="A275" t="s">
        <v>3653</v>
      </c>
    </row>
    <row r="276" spans="1:1" x14ac:dyDescent="0.25">
      <c r="A276" t="s">
        <v>3654</v>
      </c>
    </row>
    <row r="277" spans="1:1" x14ac:dyDescent="0.25">
      <c r="A277" t="s">
        <v>3655</v>
      </c>
    </row>
    <row r="278" spans="1:1" x14ac:dyDescent="0.25">
      <c r="A278" t="s">
        <v>3656</v>
      </c>
    </row>
    <row r="279" spans="1:1" x14ac:dyDescent="0.25">
      <c r="A279" t="s">
        <v>3290</v>
      </c>
    </row>
    <row r="280" spans="1:1" x14ac:dyDescent="0.25">
      <c r="A280" t="s">
        <v>3291</v>
      </c>
    </row>
    <row r="281" spans="1:1" x14ac:dyDescent="0.25">
      <c r="A281" t="s">
        <v>3292</v>
      </c>
    </row>
    <row r="282" spans="1:1" x14ac:dyDescent="0.25">
      <c r="A282" t="s">
        <v>3293</v>
      </c>
    </row>
    <row r="283" spans="1:1" x14ac:dyDescent="0.25">
      <c r="A283" t="s">
        <v>3294</v>
      </c>
    </row>
    <row r="284" spans="1:1" x14ac:dyDescent="0.25">
      <c r="A284" t="s">
        <v>3295</v>
      </c>
    </row>
    <row r="285" spans="1:1" x14ac:dyDescent="0.25">
      <c r="A285" t="s">
        <v>3657</v>
      </c>
    </row>
    <row r="286" spans="1:1" x14ac:dyDescent="0.25">
      <c r="A286" t="s">
        <v>3658</v>
      </c>
    </row>
    <row r="287" spans="1:1" x14ac:dyDescent="0.25">
      <c r="A287" t="s">
        <v>3659</v>
      </c>
    </row>
    <row r="288" spans="1:1" x14ac:dyDescent="0.25">
      <c r="A288" t="s">
        <v>3660</v>
      </c>
    </row>
    <row r="289" spans="1:1" x14ac:dyDescent="0.25">
      <c r="A289" t="s">
        <v>3661</v>
      </c>
    </row>
    <row r="290" spans="1:1" x14ac:dyDescent="0.25">
      <c r="A290" t="s">
        <v>3662</v>
      </c>
    </row>
    <row r="291" spans="1:1" x14ac:dyDescent="0.25">
      <c r="A291" t="s">
        <v>3663</v>
      </c>
    </row>
    <row r="292" spans="1:1" x14ac:dyDescent="0.25">
      <c r="A292" t="s">
        <v>3664</v>
      </c>
    </row>
    <row r="293" spans="1:1" x14ac:dyDescent="0.25">
      <c r="A293" t="s">
        <v>3296</v>
      </c>
    </row>
    <row r="294" spans="1:1" x14ac:dyDescent="0.25">
      <c r="A294" t="s">
        <v>3665</v>
      </c>
    </row>
    <row r="295" spans="1:1" x14ac:dyDescent="0.25">
      <c r="A295" t="s">
        <v>3666</v>
      </c>
    </row>
    <row r="296" spans="1:1" x14ac:dyDescent="0.25">
      <c r="A296" t="s">
        <v>3667</v>
      </c>
    </row>
    <row r="297" spans="1:1" x14ac:dyDescent="0.25">
      <c r="A297" t="s">
        <v>3668</v>
      </c>
    </row>
    <row r="298" spans="1:1" x14ac:dyDescent="0.25">
      <c r="A298" t="s">
        <v>3669</v>
      </c>
    </row>
    <row r="299" spans="1:1" x14ac:dyDescent="0.25">
      <c r="A299" t="s">
        <v>3670</v>
      </c>
    </row>
    <row r="300" spans="1:1" x14ac:dyDescent="0.25">
      <c r="A300" t="s">
        <v>3671</v>
      </c>
    </row>
    <row r="301" spans="1:1" x14ac:dyDescent="0.25">
      <c r="A301" t="s">
        <v>3672</v>
      </c>
    </row>
    <row r="302" spans="1:1" x14ac:dyDescent="0.25">
      <c r="A302" t="s">
        <v>3673</v>
      </c>
    </row>
    <row r="303" spans="1:1" x14ac:dyDescent="0.25">
      <c r="A303" t="s">
        <v>3305</v>
      </c>
    </row>
    <row r="304" spans="1:1" x14ac:dyDescent="0.25">
      <c r="A304" t="s">
        <v>3306</v>
      </c>
    </row>
    <row r="305" spans="1:1" x14ac:dyDescent="0.25">
      <c r="A305" t="s">
        <v>3307</v>
      </c>
    </row>
    <row r="306" spans="1:1" x14ac:dyDescent="0.25">
      <c r="A306" t="s">
        <v>3297</v>
      </c>
    </row>
    <row r="307" spans="1:1" x14ac:dyDescent="0.25">
      <c r="A307" t="s">
        <v>3298</v>
      </c>
    </row>
    <row r="308" spans="1:1" x14ac:dyDescent="0.25">
      <c r="A308" t="s">
        <v>3299</v>
      </c>
    </row>
    <row r="309" spans="1:1" x14ac:dyDescent="0.25">
      <c r="A309" t="s">
        <v>3300</v>
      </c>
    </row>
    <row r="310" spans="1:1" x14ac:dyDescent="0.25">
      <c r="A310" t="s">
        <v>3301</v>
      </c>
    </row>
    <row r="311" spans="1:1" x14ac:dyDescent="0.25">
      <c r="A311" t="s">
        <v>3302</v>
      </c>
    </row>
    <row r="312" spans="1:1" x14ac:dyDescent="0.25">
      <c r="A312" t="s">
        <v>3303</v>
      </c>
    </row>
    <row r="313" spans="1:1" x14ac:dyDescent="0.25">
      <c r="A313" t="s">
        <v>3304</v>
      </c>
    </row>
  </sheetData>
  <mergeCells count="1">
    <mergeCell ref="B4:G4"/>
  </mergeCells>
  <hyperlinks>
    <hyperlink ref="B1" r:id="rId1" display="\\10.138.232.172\sjain10\git_ws\kCluster_base4\programs\royale\my2023\kcluster\bsw-gen\Appl\GenData\Os_Cfg.h" xr:uid="{00000000-0004-0000-0D00-000000000000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17409" r:id="rId5" name="cmdImportEventList">
          <controlPr defaultSize="0" autoLine="0" autoPict="0" r:id="rId6">
            <anchor moveWithCells="1">
              <from>
                <xdr:col>0</xdr:col>
                <xdr:colOff>295275</xdr:colOff>
                <xdr:row>1</xdr:row>
                <xdr:rowOff>57150</xdr:rowOff>
              </from>
              <to>
                <xdr:col>0</xdr:col>
                <xdr:colOff>2286000</xdr:colOff>
                <xdr:row>3</xdr:row>
                <xdr:rowOff>95250</xdr:rowOff>
              </to>
            </anchor>
          </controlPr>
        </control>
      </mc:Choice>
      <mc:Fallback>
        <control shapeId="17409" r:id="rId5" name="cmdImportEventList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"/>
  <sheetViews>
    <sheetView workbookViewId="0">
      <selection activeCell="A13" sqref="A13"/>
    </sheetView>
  </sheetViews>
  <sheetFormatPr defaultRowHeight="15" x14ac:dyDescent="0.25"/>
  <sheetData/>
  <pageMargins left="0.7" right="0.7" top="0.75" bottom="0.75" header="0.3" footer="0.3"/>
  <pageSetup orientation="portrait" horizontalDpi="300" verticalDpi="300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1"/>
  <dimension ref="A5:D29"/>
  <sheetViews>
    <sheetView workbookViewId="0">
      <selection activeCell="G30" sqref="G30"/>
    </sheetView>
  </sheetViews>
  <sheetFormatPr defaultColWidth="9.28515625" defaultRowHeight="15" x14ac:dyDescent="0.25"/>
  <cols>
    <col min="1" max="1" width="7" style="3" customWidth="1"/>
    <col min="2" max="2" width="19.42578125" style="1" customWidth="1"/>
    <col min="3" max="3" width="39" style="1" bestFit="1" customWidth="1"/>
    <col min="4" max="4" width="46.7109375" style="1" customWidth="1"/>
    <col min="5" max="16384" width="9.28515625" style="1"/>
  </cols>
  <sheetData>
    <row r="5" spans="1:4" x14ac:dyDescent="0.25">
      <c r="A5" s="71" t="s">
        <v>699</v>
      </c>
      <c r="B5" s="72" t="s">
        <v>1188</v>
      </c>
      <c r="C5" s="72" t="s">
        <v>1186</v>
      </c>
      <c r="D5" s="72" t="s">
        <v>1187</v>
      </c>
    </row>
    <row r="6" spans="1:4" x14ac:dyDescent="0.25">
      <c r="A6" s="69"/>
      <c r="B6" s="70"/>
      <c r="C6" s="70"/>
      <c r="D6" s="13"/>
    </row>
    <row r="7" spans="1:4" x14ac:dyDescent="0.25">
      <c r="A7" s="69"/>
      <c r="B7" s="70"/>
      <c r="C7" s="70"/>
      <c r="D7" s="13"/>
    </row>
    <row r="8" spans="1:4" x14ac:dyDescent="0.25">
      <c r="A8" s="69"/>
      <c r="B8" s="70"/>
      <c r="C8" s="70"/>
      <c r="D8" s="13"/>
    </row>
    <row r="9" spans="1:4" x14ac:dyDescent="0.25">
      <c r="A9" s="69"/>
      <c r="B9" s="70"/>
      <c r="C9" s="70"/>
      <c r="D9" s="13"/>
    </row>
    <row r="10" spans="1:4" x14ac:dyDescent="0.25">
      <c r="A10" s="69"/>
      <c r="B10" s="70"/>
      <c r="C10" s="70"/>
      <c r="D10" s="13"/>
    </row>
    <row r="11" spans="1:4" x14ac:dyDescent="0.25">
      <c r="A11" s="69"/>
      <c r="B11" s="70"/>
      <c r="C11" s="70"/>
      <c r="D11" s="13"/>
    </row>
    <row r="12" spans="1:4" x14ac:dyDescent="0.25">
      <c r="A12" s="69"/>
      <c r="B12" s="70"/>
      <c r="C12" s="70"/>
      <c r="D12" s="13"/>
    </row>
    <row r="13" spans="1:4" x14ac:dyDescent="0.25">
      <c r="A13" s="69"/>
      <c r="B13" s="70"/>
      <c r="C13" s="70"/>
      <c r="D13" s="13"/>
    </row>
    <row r="14" spans="1:4" x14ac:dyDescent="0.25">
      <c r="A14" s="69"/>
      <c r="B14" s="70"/>
      <c r="C14" s="70"/>
      <c r="D14" s="13"/>
    </row>
    <row r="15" spans="1:4" x14ac:dyDescent="0.25">
      <c r="A15" s="69"/>
      <c r="B15" s="70"/>
      <c r="C15" s="70"/>
      <c r="D15" s="13"/>
    </row>
    <row r="16" spans="1:4" x14ac:dyDescent="0.25">
      <c r="A16" s="69"/>
      <c r="B16" s="70"/>
      <c r="C16" s="70"/>
      <c r="D16" s="13"/>
    </row>
    <row r="17" spans="1:4" x14ac:dyDescent="0.25">
      <c r="A17" s="69"/>
      <c r="B17" s="70"/>
      <c r="C17" s="70"/>
      <c r="D17" s="13"/>
    </row>
    <row r="18" spans="1:4" x14ac:dyDescent="0.25">
      <c r="A18" s="69"/>
      <c r="B18" s="70"/>
      <c r="C18" s="70"/>
      <c r="D18" s="13"/>
    </row>
    <row r="19" spans="1:4" x14ac:dyDescent="0.25">
      <c r="A19" s="69"/>
      <c r="B19" s="70"/>
      <c r="C19" s="70"/>
      <c r="D19" s="13"/>
    </row>
    <row r="20" spans="1:4" x14ac:dyDescent="0.25">
      <c r="A20" s="69"/>
      <c r="B20" s="70"/>
      <c r="C20" s="70"/>
      <c r="D20" s="13"/>
    </row>
    <row r="21" spans="1:4" x14ac:dyDescent="0.25">
      <c r="A21" s="69"/>
      <c r="B21" s="70"/>
      <c r="C21" s="70"/>
      <c r="D21" s="13"/>
    </row>
    <row r="22" spans="1:4" x14ac:dyDescent="0.25">
      <c r="A22" s="69"/>
      <c r="B22" s="70"/>
      <c r="C22" s="70"/>
      <c r="D22" s="13"/>
    </row>
    <row r="23" spans="1:4" x14ac:dyDescent="0.25">
      <c r="A23" s="69"/>
      <c r="B23" s="70"/>
      <c r="C23" s="70"/>
      <c r="D23" s="13"/>
    </row>
    <row r="24" spans="1:4" x14ac:dyDescent="0.25">
      <c r="A24" s="69"/>
      <c r="B24" s="70"/>
      <c r="C24" s="70"/>
      <c r="D24" s="13"/>
    </row>
    <row r="25" spans="1:4" x14ac:dyDescent="0.25">
      <c r="A25" s="69"/>
      <c r="B25" s="70"/>
      <c r="C25" s="70"/>
      <c r="D25" s="13"/>
    </row>
    <row r="26" spans="1:4" x14ac:dyDescent="0.25">
      <c r="A26" s="69"/>
      <c r="B26" s="70"/>
      <c r="C26" s="70"/>
      <c r="D26" s="13"/>
    </row>
    <row r="27" spans="1:4" x14ac:dyDescent="0.25">
      <c r="A27" s="69"/>
      <c r="B27" s="70"/>
      <c r="C27" s="70"/>
      <c r="D27" s="13"/>
    </row>
    <row r="28" spans="1:4" x14ac:dyDescent="0.25">
      <c r="A28" s="69"/>
      <c r="B28" s="70"/>
      <c r="C28" s="70"/>
      <c r="D28" s="13"/>
    </row>
    <row r="29" spans="1:4" x14ac:dyDescent="0.25">
      <c r="A29" s="69"/>
      <c r="B29" s="70"/>
      <c r="C29" s="70"/>
      <c r="D29" s="13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4515" r:id="rId4" name="lblMemmapIncList">
          <controlPr autoLine="0" autoPict="0" r:id="rId5">
            <anchor moveWithCells="1">
              <from>
                <xdr:col>6</xdr:col>
                <xdr:colOff>495300</xdr:colOff>
                <xdr:row>1</xdr:row>
                <xdr:rowOff>0</xdr:rowOff>
              </from>
              <to>
                <xdr:col>9</xdr:col>
                <xdr:colOff>476250</xdr:colOff>
                <xdr:row>2</xdr:row>
                <xdr:rowOff>19050</xdr:rowOff>
              </to>
            </anchor>
          </controlPr>
        </control>
      </mc:Choice>
      <mc:Fallback>
        <control shapeId="64515" r:id="rId4" name="lblMemmapIncList"/>
      </mc:Fallback>
    </mc:AlternateContent>
    <mc:AlternateContent xmlns:mc="http://schemas.openxmlformats.org/markup-compatibility/2006">
      <mc:Choice Requires="x14">
        <control shapeId="64514" r:id="rId6" name="txtMemMapIncludeList">
          <controlPr autoLine="0" autoPict="0" r:id="rId7">
            <anchor moveWithCells="1">
              <from>
                <xdr:col>6</xdr:col>
                <xdr:colOff>457200</xdr:colOff>
                <xdr:row>2</xdr:row>
                <xdr:rowOff>57150</xdr:rowOff>
              </from>
              <to>
                <xdr:col>9</xdr:col>
                <xdr:colOff>495300</xdr:colOff>
                <xdr:row>9</xdr:row>
                <xdr:rowOff>171450</xdr:rowOff>
              </to>
            </anchor>
          </controlPr>
        </control>
      </mc:Choice>
      <mc:Fallback>
        <control shapeId="64514" r:id="rId6" name="txtMemMapIncludeList"/>
      </mc:Fallback>
    </mc:AlternateContent>
    <mc:AlternateContent xmlns:mc="http://schemas.openxmlformats.org/markup-compatibility/2006">
      <mc:Choice Requires="x14">
        <control shapeId="64513" r:id="rId8" name="chkMemmapReqd">
          <controlPr autoLine="0" r:id="rId9">
            <anchor moveWithCells="1">
              <from>
                <xdr:col>1</xdr:col>
                <xdr:colOff>0</xdr:colOff>
                <xdr:row>1</xdr:row>
                <xdr:rowOff>57150</xdr:rowOff>
              </from>
              <to>
                <xdr:col>2</xdr:col>
                <xdr:colOff>76200</xdr:colOff>
                <xdr:row>2</xdr:row>
                <xdr:rowOff>142875</xdr:rowOff>
              </to>
            </anchor>
          </controlPr>
        </control>
      </mc:Choice>
      <mc:Fallback>
        <control shapeId="64513" r:id="rId8" name="chkMemmapReqd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5:D16"/>
  <sheetViews>
    <sheetView workbookViewId="0">
      <selection activeCell="H18" sqref="H18"/>
    </sheetView>
  </sheetViews>
  <sheetFormatPr defaultColWidth="9.28515625" defaultRowHeight="15" x14ac:dyDescent="0.25"/>
  <cols>
    <col min="1" max="1" width="7" style="3" customWidth="1"/>
    <col min="2" max="2" width="23.28515625" style="1" bestFit="1" customWidth="1"/>
    <col min="3" max="3" width="23.28515625" style="1" customWidth="1"/>
    <col min="4" max="4" width="46.7109375" style="1" customWidth="1"/>
    <col min="5" max="16384" width="9.28515625" style="1"/>
  </cols>
  <sheetData>
    <row r="5" spans="1:4" x14ac:dyDescent="0.25">
      <c r="A5" s="71" t="s">
        <v>699</v>
      </c>
      <c r="B5" s="72" t="s">
        <v>1126</v>
      </c>
      <c r="C5" s="72" t="s">
        <v>1127</v>
      </c>
      <c r="D5" s="72" t="s">
        <v>1124</v>
      </c>
    </row>
    <row r="6" spans="1:4" x14ac:dyDescent="0.25">
      <c r="A6" s="104">
        <v>1</v>
      </c>
      <c r="B6" s="105" t="s">
        <v>1125</v>
      </c>
      <c r="C6" s="105" t="s">
        <v>1128</v>
      </c>
      <c r="D6" s="103"/>
    </row>
    <row r="7" spans="1:4" x14ac:dyDescent="0.25">
      <c r="A7" s="104">
        <v>2</v>
      </c>
      <c r="B7" s="105" t="s">
        <v>3308</v>
      </c>
      <c r="C7" s="105" t="s">
        <v>3309</v>
      </c>
      <c r="D7" s="103" t="s">
        <v>3310</v>
      </c>
    </row>
    <row r="8" spans="1:4" x14ac:dyDescent="0.25">
      <c r="A8" s="104">
        <v>3</v>
      </c>
      <c r="B8" s="105" t="s">
        <v>1119</v>
      </c>
      <c r="C8" s="105" t="s">
        <v>1165</v>
      </c>
      <c r="D8" s="103" t="s">
        <v>1167</v>
      </c>
    </row>
    <row r="9" spans="1:4" x14ac:dyDescent="0.25">
      <c r="A9" s="104">
        <v>4</v>
      </c>
      <c r="B9" s="105" t="s">
        <v>1120</v>
      </c>
      <c r="C9" s="105" t="s">
        <v>1166</v>
      </c>
      <c r="D9" s="103" t="s">
        <v>1168</v>
      </c>
    </row>
    <row r="10" spans="1:4" x14ac:dyDescent="0.25">
      <c r="A10" s="104">
        <v>5</v>
      </c>
      <c r="B10" s="105" t="s">
        <v>1121</v>
      </c>
      <c r="C10" s="105" t="s">
        <v>1129</v>
      </c>
      <c r="D10" s="103" t="s">
        <v>1163</v>
      </c>
    </row>
    <row r="11" spans="1:4" x14ac:dyDescent="0.25">
      <c r="A11" s="104">
        <v>6</v>
      </c>
      <c r="B11" s="105" t="s">
        <v>1122</v>
      </c>
      <c r="C11" s="105" t="s">
        <v>1130</v>
      </c>
      <c r="D11" s="103" t="s">
        <v>1164</v>
      </c>
    </row>
    <row r="12" spans="1:4" x14ac:dyDescent="0.25">
      <c r="A12" s="104">
        <v>7</v>
      </c>
      <c r="B12" s="105" t="s">
        <v>1123</v>
      </c>
      <c r="C12" s="105" t="s">
        <v>1131</v>
      </c>
      <c r="D12" s="103"/>
    </row>
    <row r="13" spans="1:4" x14ac:dyDescent="0.25">
      <c r="A13" s="104">
        <v>8</v>
      </c>
      <c r="B13" s="105" t="s">
        <v>3311</v>
      </c>
      <c r="C13" s="105" t="s">
        <v>3312</v>
      </c>
      <c r="D13" s="103" t="s">
        <v>3313</v>
      </c>
    </row>
    <row r="14" spans="1:4" x14ac:dyDescent="0.25">
      <c r="A14" s="104">
        <v>9</v>
      </c>
      <c r="B14" s="105" t="s">
        <v>1123</v>
      </c>
      <c r="C14" s="105" t="s">
        <v>2069</v>
      </c>
      <c r="D14" s="103"/>
    </row>
    <row r="15" spans="1:4" x14ac:dyDescent="0.25">
      <c r="A15" s="104">
        <v>10</v>
      </c>
      <c r="B15" s="105" t="s">
        <v>1123</v>
      </c>
      <c r="C15" s="105" t="s">
        <v>2070</v>
      </c>
      <c r="D15" s="103"/>
    </row>
    <row r="16" spans="1:4" x14ac:dyDescent="0.25">
      <c r="A16" s="104">
        <v>11</v>
      </c>
      <c r="B16" s="105" t="s">
        <v>3314</v>
      </c>
      <c r="C16" s="105" t="s">
        <v>3315</v>
      </c>
      <c r="D16" s="103" t="s">
        <v>3316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9940" r:id="rId4" name="txtIncludeFileList">
          <controlPr autoLine="0" autoPict="0" r:id="rId5">
            <anchor moveWithCells="1">
              <from>
                <xdr:col>6</xdr:col>
                <xdr:colOff>476250</xdr:colOff>
                <xdr:row>2</xdr:row>
                <xdr:rowOff>76200</xdr:rowOff>
              </from>
              <to>
                <xdr:col>10</xdr:col>
                <xdr:colOff>190500</xdr:colOff>
                <xdr:row>12</xdr:row>
                <xdr:rowOff>47625</xdr:rowOff>
              </to>
            </anchor>
          </controlPr>
        </control>
      </mc:Choice>
      <mc:Fallback>
        <control shapeId="39940" r:id="rId4" name="txtIncludeFileList"/>
      </mc:Fallback>
    </mc:AlternateContent>
    <mc:AlternateContent xmlns:mc="http://schemas.openxmlformats.org/markup-compatibility/2006">
      <mc:Choice Requires="x14">
        <control shapeId="39939" r:id="rId6" name="lblIncFileList">
          <controlPr autoLine="0" r:id="rId7">
            <anchor moveWithCells="1">
              <from>
                <xdr:col>6</xdr:col>
                <xdr:colOff>495300</xdr:colOff>
                <xdr:row>1</xdr:row>
                <xdr:rowOff>0</xdr:rowOff>
              </from>
              <to>
                <xdr:col>8</xdr:col>
                <xdr:colOff>180975</xdr:colOff>
                <xdr:row>1</xdr:row>
                <xdr:rowOff>171450</xdr:rowOff>
              </to>
            </anchor>
          </controlPr>
        </control>
      </mc:Choice>
      <mc:Fallback>
        <control shapeId="39939" r:id="rId6" name="lblIncFileList"/>
      </mc:Fallback>
    </mc:AlternateContent>
    <mc:AlternateContent xmlns:mc="http://schemas.openxmlformats.org/markup-compatibility/2006">
      <mc:Choice Requires="x14">
        <control shapeId="39937" r:id="rId8" name="chkDebugRequired">
          <controlPr autoLine="0" r:id="rId9">
            <anchor moveWithCells="1">
              <from>
                <xdr:col>1</xdr:col>
                <xdr:colOff>0</xdr:colOff>
                <xdr:row>1</xdr:row>
                <xdr:rowOff>57150</xdr:rowOff>
              </from>
              <to>
                <xdr:col>1</xdr:col>
                <xdr:colOff>1371600</xdr:colOff>
                <xdr:row>2</xdr:row>
                <xdr:rowOff>133350</xdr:rowOff>
              </to>
            </anchor>
          </controlPr>
        </control>
      </mc:Choice>
      <mc:Fallback>
        <control shapeId="39937" r:id="rId8" name="chkDebugRequired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1"/>
  <dimension ref="A1:D3"/>
  <sheetViews>
    <sheetView workbookViewId="0">
      <selection activeCell="P24" sqref="P24"/>
    </sheetView>
  </sheetViews>
  <sheetFormatPr defaultRowHeight="15" x14ac:dyDescent="0.25"/>
  <cols>
    <col min="1" max="1" width="9.28515625" style="27"/>
    <col min="4" max="4" width="11.28515625" bestFit="1" customWidth="1"/>
  </cols>
  <sheetData>
    <row r="1" spans="1:4" x14ac:dyDescent="0.25">
      <c r="A1" s="41" t="s">
        <v>687</v>
      </c>
      <c r="B1" s="42" t="s">
        <v>691</v>
      </c>
      <c r="C1" s="42" t="s">
        <v>692</v>
      </c>
      <c r="D1" s="42" t="s">
        <v>693</v>
      </c>
    </row>
    <row r="2" spans="1:4" x14ac:dyDescent="0.25">
      <c r="A2" s="40">
        <v>0</v>
      </c>
      <c r="B2" s="24">
        <v>0</v>
      </c>
      <c r="C2" s="24" t="s">
        <v>694</v>
      </c>
      <c r="D2" s="24" t="s">
        <v>695</v>
      </c>
    </row>
    <row r="3" spans="1:4" x14ac:dyDescent="0.25">
      <c r="A3" s="27">
        <v>1</v>
      </c>
      <c r="B3">
        <v>0</v>
      </c>
      <c r="C3" t="s">
        <v>694</v>
      </c>
      <c r="D3" t="s">
        <v>695</v>
      </c>
    </row>
  </sheetData>
  <dataValidations count="1">
    <dataValidation type="list" allowBlank="1" showInputMessage="1" showErrorMessage="1" sqref="D1:D1048576 D1" xr:uid="{00000000-0002-0000-1100-000000000000}">
      <formula1>"HARDWARE,SOFTWARE"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9"/>
  <dimension ref="A1:X73"/>
  <sheetViews>
    <sheetView workbookViewId="0">
      <selection activeCell="B6" sqref="B6"/>
    </sheetView>
  </sheetViews>
  <sheetFormatPr defaultRowHeight="15" x14ac:dyDescent="0.25"/>
  <cols>
    <col min="1" max="1" width="18.7109375" style="35" bestFit="1" customWidth="1"/>
    <col min="2" max="2" width="31.28515625" customWidth="1"/>
    <col min="3" max="3" width="13.5703125" style="27" customWidth="1"/>
    <col min="4" max="4" width="13.5703125" style="35" customWidth="1"/>
    <col min="5" max="5" width="20.5703125" customWidth="1"/>
    <col min="6" max="6" width="16" bestFit="1" customWidth="1"/>
    <col min="7" max="7" width="38.7109375" bestFit="1" customWidth="1"/>
    <col min="8" max="8" width="32" bestFit="1" customWidth="1"/>
    <col min="9" max="9" width="23.5703125" bestFit="1" customWidth="1"/>
    <col min="10" max="10" width="10" customWidth="1"/>
    <col min="11" max="11" width="23.5703125" customWidth="1"/>
    <col min="12" max="12" width="22.42578125" customWidth="1"/>
    <col min="13" max="13" width="18.28515625" customWidth="1"/>
    <col min="14" max="14" width="40.7109375" customWidth="1"/>
    <col min="15" max="15" width="31.5703125" customWidth="1"/>
    <col min="16" max="16" width="22.28515625" customWidth="1"/>
    <col min="17" max="17" width="38.28515625" customWidth="1"/>
    <col min="18" max="18" width="61.7109375" customWidth="1"/>
    <col min="19" max="19" width="51.5703125" customWidth="1"/>
    <col min="20" max="20" width="34.5703125" customWidth="1"/>
    <col min="21" max="21" width="73.28515625" customWidth="1"/>
    <col min="22" max="22" width="26.7109375" customWidth="1"/>
    <col min="23" max="23" width="12.7109375" customWidth="1"/>
    <col min="24" max="24" width="81.28515625" customWidth="1"/>
    <col min="25" max="25" width="31.5703125" customWidth="1"/>
    <col min="26" max="26" width="18.7109375" customWidth="1"/>
    <col min="27" max="27" width="38" customWidth="1"/>
    <col min="28" max="28" width="43.28515625" customWidth="1"/>
    <col min="29" max="29" width="79.7109375" customWidth="1"/>
    <col min="30" max="30" width="34.5703125" customWidth="1"/>
    <col min="31" max="31" width="38.28515625" customWidth="1"/>
    <col min="32" max="32" width="21.28515625" customWidth="1"/>
    <col min="33" max="33" width="81.28515625" customWidth="1"/>
    <col min="34" max="34" width="34.5703125" customWidth="1"/>
    <col min="35" max="35" width="81.28515625" customWidth="1"/>
    <col min="36" max="36" width="26.7109375" customWidth="1"/>
    <col min="37" max="37" width="14.7109375" customWidth="1"/>
    <col min="38" max="38" width="81.28515625" customWidth="1"/>
    <col min="39" max="39" width="24.42578125" customWidth="1"/>
    <col min="40" max="40" width="34.7109375" customWidth="1"/>
    <col min="41" max="41" width="38.28515625" customWidth="1"/>
    <col min="42" max="42" width="25.28515625" customWidth="1"/>
    <col min="43" max="43" width="81.28515625" customWidth="1"/>
    <col min="44" max="44" width="28.5703125" customWidth="1"/>
    <col min="45" max="45" width="38.28515625" customWidth="1"/>
    <col min="46" max="46" width="27.28515625" customWidth="1"/>
    <col min="47" max="47" width="81.28515625" customWidth="1"/>
    <col min="48" max="48" width="34.5703125" customWidth="1"/>
    <col min="49" max="49" width="81.28515625" customWidth="1"/>
    <col min="50" max="50" width="25.5703125" customWidth="1"/>
    <col min="51" max="51" width="14.7109375" customWidth="1"/>
    <col min="52" max="52" width="81.28515625" customWidth="1"/>
    <col min="53" max="53" width="31.5703125" customWidth="1"/>
    <col min="54" max="54" width="14.7109375" customWidth="1"/>
    <col min="55" max="55" width="26.7109375" customWidth="1"/>
    <col min="56" max="56" width="57.42578125" customWidth="1"/>
    <col min="57" max="57" width="8.28515625" customWidth="1"/>
    <col min="58" max="58" width="81.28515625" customWidth="1"/>
    <col min="59" max="59" width="20.42578125" customWidth="1"/>
    <col min="60" max="60" width="29" customWidth="1"/>
    <col min="61" max="61" width="77" customWidth="1"/>
    <col min="62" max="62" width="23.5703125" customWidth="1"/>
    <col min="63" max="63" width="76.5703125" customWidth="1"/>
    <col min="64" max="64" width="26.7109375" customWidth="1"/>
    <col min="65" max="65" width="14.7109375" customWidth="1"/>
    <col min="66" max="66" width="64.7109375" customWidth="1"/>
    <col min="67" max="67" width="20.42578125" customWidth="1"/>
    <col min="68" max="68" width="35.5703125" customWidth="1"/>
    <col min="69" max="69" width="23.5703125" customWidth="1"/>
    <col min="70" max="70" width="29" customWidth="1"/>
    <col min="71" max="71" width="57.42578125" customWidth="1"/>
    <col min="72" max="72" width="8.28515625" customWidth="1"/>
    <col min="73" max="73" width="65.28515625" customWidth="1"/>
    <col min="74" max="74" width="20.42578125" customWidth="1"/>
    <col min="75" max="75" width="77" customWidth="1"/>
    <col min="76" max="76" width="23.5703125" customWidth="1"/>
    <col min="77" max="78" width="29" customWidth="1"/>
  </cols>
  <sheetData>
    <row r="1" spans="1:24" x14ac:dyDescent="0.25">
      <c r="A1" s="54" t="s">
        <v>956</v>
      </c>
    </row>
    <row r="2" spans="1:24" x14ac:dyDescent="0.25">
      <c r="A2" s="55" t="s">
        <v>957</v>
      </c>
    </row>
    <row r="3" spans="1:24" x14ac:dyDescent="0.25">
      <c r="A3" s="55" t="s">
        <v>2015</v>
      </c>
    </row>
    <row r="5" spans="1:24" ht="15.75" thickBot="1" x14ac:dyDescent="0.3"/>
    <row r="6" spans="1:24" x14ac:dyDescent="0.25">
      <c r="A6" s="18" t="s">
        <v>8</v>
      </c>
      <c r="B6" s="28" t="s">
        <v>3007</v>
      </c>
    </row>
    <row r="7" spans="1:24" x14ac:dyDescent="0.25">
      <c r="A7" s="36" t="s">
        <v>131</v>
      </c>
      <c r="B7" s="28">
        <v>0</v>
      </c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</row>
    <row r="8" spans="1:24" ht="15.75" thickBot="1" x14ac:dyDescent="0.3">
      <c r="A8" s="38" t="s">
        <v>132</v>
      </c>
      <c r="B8" s="29">
        <v>25</v>
      </c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</row>
    <row r="10" spans="1:24" x14ac:dyDescent="0.25">
      <c r="A10" s="39" t="s">
        <v>133</v>
      </c>
      <c r="B10" s="30" t="s">
        <v>134</v>
      </c>
      <c r="C10" s="31" t="s">
        <v>135</v>
      </c>
      <c r="D10" s="39" t="s">
        <v>136</v>
      </c>
      <c r="E10" s="30" t="s">
        <v>137</v>
      </c>
      <c r="F10" s="31" t="s">
        <v>2013</v>
      </c>
      <c r="G10" s="30" t="s">
        <v>139</v>
      </c>
      <c r="H10" s="30" t="s">
        <v>142</v>
      </c>
      <c r="I10" s="30" t="s">
        <v>4</v>
      </c>
    </row>
    <row r="11" spans="1:24" x14ac:dyDescent="0.25">
      <c r="A11" s="35">
        <v>0</v>
      </c>
      <c r="B11" s="49" t="s">
        <v>892</v>
      </c>
      <c r="C11" s="35">
        <v>0</v>
      </c>
      <c r="F11">
        <v>15</v>
      </c>
      <c r="G11" s="49" t="s">
        <v>141</v>
      </c>
    </row>
    <row r="12" spans="1:24" x14ac:dyDescent="0.25">
      <c r="A12" s="35">
        <v>1</v>
      </c>
      <c r="B12" s="49" t="s">
        <v>3008</v>
      </c>
      <c r="C12" s="35">
        <v>90</v>
      </c>
      <c r="F12">
        <v>2</v>
      </c>
      <c r="G12" s="49" t="s">
        <v>3009</v>
      </c>
    </row>
    <row r="13" spans="1:24" ht="15.75" customHeight="1" x14ac:dyDescent="0.25">
      <c r="A13" s="35">
        <v>2</v>
      </c>
      <c r="B13" t="s">
        <v>3010</v>
      </c>
      <c r="C13" s="35">
        <v>680</v>
      </c>
      <c r="F13">
        <v>3</v>
      </c>
      <c r="G13" t="s">
        <v>3011</v>
      </c>
    </row>
    <row r="14" spans="1:24" x14ac:dyDescent="0.25">
      <c r="A14" s="35">
        <v>3</v>
      </c>
      <c r="B14" s="49" t="s">
        <v>3012</v>
      </c>
      <c r="C14" s="35">
        <v>12</v>
      </c>
      <c r="F14">
        <v>4</v>
      </c>
      <c r="G14" s="49" t="s">
        <v>3013</v>
      </c>
    </row>
    <row r="15" spans="1:24" x14ac:dyDescent="0.25">
      <c r="A15" s="35">
        <v>4</v>
      </c>
      <c r="B15" t="s">
        <v>3014</v>
      </c>
      <c r="C15" s="35">
        <v>135</v>
      </c>
      <c r="F15">
        <v>5</v>
      </c>
      <c r="G15" t="s">
        <v>3015</v>
      </c>
    </row>
    <row r="16" spans="1:24" x14ac:dyDescent="0.25">
      <c r="A16" s="35">
        <v>5</v>
      </c>
      <c r="B16" t="s">
        <v>3016</v>
      </c>
      <c r="C16" s="35">
        <v>472</v>
      </c>
      <c r="F16">
        <v>6</v>
      </c>
      <c r="G16" t="s">
        <v>3017</v>
      </c>
    </row>
    <row r="17" spans="1:7" x14ac:dyDescent="0.25">
      <c r="A17" s="35">
        <v>6</v>
      </c>
      <c r="B17" t="s">
        <v>3018</v>
      </c>
      <c r="C17" s="35">
        <v>473</v>
      </c>
      <c r="F17">
        <v>6</v>
      </c>
      <c r="G17" t="s">
        <v>3019</v>
      </c>
    </row>
    <row r="18" spans="1:7" x14ac:dyDescent="0.25">
      <c r="A18" s="35">
        <v>7</v>
      </c>
      <c r="B18" t="s">
        <v>3020</v>
      </c>
      <c r="C18" s="35">
        <v>474</v>
      </c>
      <c r="F18">
        <v>6</v>
      </c>
      <c r="G18" t="s">
        <v>3021</v>
      </c>
    </row>
    <row r="19" spans="1:7" x14ac:dyDescent="0.25">
      <c r="A19" s="35">
        <v>8</v>
      </c>
      <c r="B19" t="s">
        <v>3022</v>
      </c>
      <c r="C19" s="35">
        <v>475</v>
      </c>
      <c r="F19">
        <v>6</v>
      </c>
      <c r="G19" t="s">
        <v>3023</v>
      </c>
    </row>
    <row r="20" spans="1:7" x14ac:dyDescent="0.25">
      <c r="A20" s="35">
        <v>9</v>
      </c>
      <c r="B20" t="s">
        <v>3024</v>
      </c>
      <c r="C20" s="35">
        <v>476</v>
      </c>
      <c r="F20">
        <v>6</v>
      </c>
      <c r="G20" t="s">
        <v>3025</v>
      </c>
    </row>
    <row r="21" spans="1:7" x14ac:dyDescent="0.25">
      <c r="A21" s="35">
        <v>10</v>
      </c>
      <c r="B21" t="s">
        <v>3026</v>
      </c>
      <c r="C21" s="35">
        <v>6</v>
      </c>
      <c r="F21">
        <v>6</v>
      </c>
      <c r="G21" t="s">
        <v>3027</v>
      </c>
    </row>
    <row r="22" spans="1:7" x14ac:dyDescent="0.25">
      <c r="A22" s="35">
        <v>11</v>
      </c>
      <c r="B22" t="s">
        <v>3028</v>
      </c>
      <c r="C22" s="35">
        <v>150</v>
      </c>
      <c r="F22">
        <v>6</v>
      </c>
      <c r="G22" t="s">
        <v>3029</v>
      </c>
    </row>
    <row r="23" spans="1:7" x14ac:dyDescent="0.25">
      <c r="A23" s="35">
        <v>12</v>
      </c>
      <c r="B23" t="s">
        <v>3030</v>
      </c>
      <c r="C23" s="35">
        <v>152</v>
      </c>
      <c r="F23">
        <v>6</v>
      </c>
      <c r="G23" t="s">
        <v>3031</v>
      </c>
    </row>
    <row r="24" spans="1:7" x14ac:dyDescent="0.25">
      <c r="A24" s="35">
        <v>13</v>
      </c>
      <c r="B24" t="s">
        <v>3032</v>
      </c>
      <c r="C24" s="35">
        <v>153</v>
      </c>
      <c r="F24">
        <v>6</v>
      </c>
      <c r="G24" t="s">
        <v>3033</v>
      </c>
    </row>
    <row r="25" spans="1:7" x14ac:dyDescent="0.25">
      <c r="A25" s="35">
        <v>14</v>
      </c>
      <c r="B25" t="s">
        <v>3034</v>
      </c>
      <c r="C25" s="35">
        <v>685</v>
      </c>
      <c r="F25">
        <v>0</v>
      </c>
      <c r="G25" t="s">
        <v>3035</v>
      </c>
    </row>
    <row r="26" spans="1:7" x14ac:dyDescent="0.25">
      <c r="A26" s="35">
        <v>15</v>
      </c>
      <c r="B26" t="s">
        <v>3036</v>
      </c>
      <c r="C26" s="35">
        <v>686</v>
      </c>
      <c r="F26">
        <v>0</v>
      </c>
      <c r="G26" t="s">
        <v>3037</v>
      </c>
    </row>
    <row r="27" spans="1:7" x14ac:dyDescent="0.25">
      <c r="A27" s="35">
        <v>16</v>
      </c>
      <c r="B27" t="s">
        <v>3038</v>
      </c>
      <c r="C27" s="35">
        <v>573</v>
      </c>
      <c r="F27">
        <v>0</v>
      </c>
      <c r="G27" t="s">
        <v>3039</v>
      </c>
    </row>
    <row r="28" spans="1:7" x14ac:dyDescent="0.25">
      <c r="A28" s="35">
        <v>17</v>
      </c>
      <c r="B28" t="s">
        <v>3040</v>
      </c>
      <c r="C28" s="35">
        <v>318</v>
      </c>
      <c r="F28">
        <v>0</v>
      </c>
      <c r="G28" t="s">
        <v>3041</v>
      </c>
    </row>
    <row r="29" spans="1:7" x14ac:dyDescent="0.25">
      <c r="A29" s="35">
        <v>18</v>
      </c>
      <c r="B29" t="s">
        <v>3042</v>
      </c>
      <c r="C29" s="35">
        <v>289</v>
      </c>
      <c r="F29">
        <v>0</v>
      </c>
      <c r="G29" t="s">
        <v>3043</v>
      </c>
    </row>
    <row r="30" spans="1:7" x14ac:dyDescent="0.25">
      <c r="A30" s="35">
        <v>19</v>
      </c>
      <c r="B30" t="s">
        <v>3044</v>
      </c>
      <c r="C30" s="35">
        <v>290</v>
      </c>
      <c r="F30">
        <v>0</v>
      </c>
      <c r="G30" t="s">
        <v>3045</v>
      </c>
    </row>
    <row r="31" spans="1:7" x14ac:dyDescent="0.25">
      <c r="A31" s="35">
        <v>20</v>
      </c>
      <c r="B31" t="s">
        <v>3046</v>
      </c>
      <c r="C31" s="35">
        <v>687</v>
      </c>
      <c r="F31">
        <v>1</v>
      </c>
      <c r="G31" t="s">
        <v>3047</v>
      </c>
    </row>
    <row r="32" spans="1:7" x14ac:dyDescent="0.25">
      <c r="A32" s="35">
        <v>21</v>
      </c>
      <c r="B32" t="s">
        <v>3048</v>
      </c>
      <c r="C32" s="35">
        <v>688</v>
      </c>
      <c r="F32">
        <v>1</v>
      </c>
      <c r="G32" t="s">
        <v>3049</v>
      </c>
    </row>
    <row r="33" spans="1:7" x14ac:dyDescent="0.25">
      <c r="A33" s="35">
        <v>22</v>
      </c>
      <c r="B33" t="s">
        <v>3050</v>
      </c>
      <c r="C33" s="35">
        <v>25</v>
      </c>
      <c r="F33">
        <v>2</v>
      </c>
      <c r="G33" t="s">
        <v>3051</v>
      </c>
    </row>
    <row r="34" spans="1:7" x14ac:dyDescent="0.25">
      <c r="A34" s="35">
        <v>23</v>
      </c>
      <c r="B34" t="s">
        <v>3052</v>
      </c>
      <c r="C34" s="35">
        <v>684</v>
      </c>
      <c r="F34">
        <v>3</v>
      </c>
      <c r="G34" t="s">
        <v>3053</v>
      </c>
    </row>
    <row r="35" spans="1:7" x14ac:dyDescent="0.25">
      <c r="A35" s="35">
        <v>24</v>
      </c>
      <c r="B35" t="s">
        <v>3342</v>
      </c>
      <c r="C35" s="35">
        <v>155</v>
      </c>
      <c r="F35">
        <v>6</v>
      </c>
      <c r="G35" t="s">
        <v>3343</v>
      </c>
    </row>
    <row r="36" spans="1:7" x14ac:dyDescent="0.25">
      <c r="C36" s="35"/>
    </row>
    <row r="37" spans="1:7" x14ac:dyDescent="0.25">
      <c r="C37" s="35"/>
    </row>
    <row r="38" spans="1:7" x14ac:dyDescent="0.25">
      <c r="C38" s="35"/>
    </row>
    <row r="39" spans="1:7" x14ac:dyDescent="0.25">
      <c r="C39" s="35"/>
    </row>
    <row r="40" spans="1:7" x14ac:dyDescent="0.25">
      <c r="C40" s="35"/>
    </row>
    <row r="41" spans="1:7" x14ac:dyDescent="0.25">
      <c r="C41" s="35"/>
    </row>
    <row r="42" spans="1:7" x14ac:dyDescent="0.25">
      <c r="C42" s="35"/>
    </row>
    <row r="43" spans="1:7" x14ac:dyDescent="0.25">
      <c r="C43" s="35"/>
    </row>
    <row r="44" spans="1:7" x14ac:dyDescent="0.25">
      <c r="C44" s="35"/>
    </row>
    <row r="46" spans="1:7" x14ac:dyDescent="0.25">
      <c r="A46"/>
    </row>
    <row r="47" spans="1:7" x14ac:dyDescent="0.25">
      <c r="A47"/>
    </row>
    <row r="48" spans="1:7" x14ac:dyDescent="0.25">
      <c r="A48"/>
    </row>
    <row r="49" spans="1:1" x14ac:dyDescent="0.25">
      <c r="A49"/>
    </row>
    <row r="50" spans="1:1" x14ac:dyDescent="0.25">
      <c r="A50"/>
    </row>
    <row r="51" spans="1:1" x14ac:dyDescent="0.25">
      <c r="A51"/>
    </row>
    <row r="52" spans="1:1" x14ac:dyDescent="0.25">
      <c r="A52"/>
    </row>
    <row r="53" spans="1:1" x14ac:dyDescent="0.25">
      <c r="A53"/>
    </row>
    <row r="54" spans="1:1" x14ac:dyDescent="0.25">
      <c r="A54"/>
    </row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</sheetData>
  <dataValidations count="3">
    <dataValidation allowBlank="1" showInputMessage="1" showErrorMessage="1" error="Interrupt Nesting not supported as of now." sqref="G10" xr:uid="{00000000-0002-0000-1200-000000000000}"/>
    <dataValidation allowBlank="1" showErrorMessage="1" errorTitle="Invalid Configuration" error="Valid ISR Category are_x000a_Cat1_x000a_Cat2" promptTitle="Cat1 Warning" prompt="Cat1 Interrupts are not permitted to call Os APIs from the ISRs" sqref="E1:E10" xr:uid="{00000000-0002-0000-1200-000001000000}"/>
    <dataValidation type="list" allowBlank="1" showInputMessage="1" showErrorMessage="1" errorTitle="Invalid Configuration" error="Valid ISR Category are_x000a_Cat1_x000a_Cat2" promptTitle="Cat1 Warning" prompt="Cat1 Interrupts are not permitted to call Os APIs from the ISRs" sqref="E11:E1048576" xr:uid="{00000000-0002-0000-1200-000002000000}">
      <formula1>"Cat1,Cat2"</formula1>
    </dataValidation>
  </dataValidations>
  <pageMargins left="0.7" right="0.7" top="0.75" bottom="0.75" header="0.3" footer="0.3"/>
  <pageSetup orientation="portrait" horizontalDpi="300" verticalDpi="300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4">
    <tabColor rgb="FFFFFF00"/>
  </sheetPr>
  <dimension ref="A1:I33"/>
  <sheetViews>
    <sheetView workbookViewId="0">
      <selection activeCell="G4" sqref="G4"/>
    </sheetView>
  </sheetViews>
  <sheetFormatPr defaultRowHeight="15" x14ac:dyDescent="0.25"/>
  <cols>
    <col min="1" max="1" width="9.28515625" style="27"/>
    <col min="2" max="2" width="26" bestFit="1" customWidth="1"/>
    <col min="3" max="3" width="13.7109375" customWidth="1"/>
    <col min="7" max="7" width="51.28515625" bestFit="1" customWidth="1"/>
    <col min="8" max="8" width="42.7109375" bestFit="1" customWidth="1"/>
  </cols>
  <sheetData>
    <row r="1" spans="1:9" x14ac:dyDescent="0.25">
      <c r="A1" s="27" t="s">
        <v>836</v>
      </c>
      <c r="B1" t="s">
        <v>837</v>
      </c>
      <c r="F1" t="s">
        <v>838</v>
      </c>
      <c r="G1" t="s">
        <v>839</v>
      </c>
    </row>
    <row r="2" spans="1:9" x14ac:dyDescent="0.25">
      <c r="A2" s="27">
        <v>0</v>
      </c>
      <c r="B2" t="s">
        <v>143</v>
      </c>
      <c r="C2" t="s">
        <v>840</v>
      </c>
      <c r="F2">
        <v>0</v>
      </c>
      <c r="G2" t="s">
        <v>143</v>
      </c>
      <c r="H2" t="s">
        <v>841</v>
      </c>
      <c r="I2" t="s">
        <v>99</v>
      </c>
    </row>
    <row r="3" spans="1:9" x14ac:dyDescent="0.25">
      <c r="A3" s="27">
        <v>1</v>
      </c>
      <c r="B3" t="s">
        <v>143</v>
      </c>
      <c r="C3" t="s">
        <v>842</v>
      </c>
      <c r="F3">
        <v>1</v>
      </c>
      <c r="G3" t="s">
        <v>843</v>
      </c>
      <c r="H3" t="s">
        <v>844</v>
      </c>
    </row>
    <row r="4" spans="1:9" x14ac:dyDescent="0.25">
      <c r="A4" s="27">
        <v>2</v>
      </c>
      <c r="B4" t="s">
        <v>143</v>
      </c>
      <c r="C4" t="s">
        <v>845</v>
      </c>
      <c r="F4">
        <v>2</v>
      </c>
      <c r="G4" t="s">
        <v>673</v>
      </c>
      <c r="H4" t="s">
        <v>846</v>
      </c>
    </row>
    <row r="5" spans="1:9" x14ac:dyDescent="0.25">
      <c r="A5" s="27">
        <v>3</v>
      </c>
      <c r="B5" t="s">
        <v>143</v>
      </c>
      <c r="C5" t="s">
        <v>847</v>
      </c>
      <c r="F5">
        <v>3</v>
      </c>
      <c r="G5" t="s">
        <v>848</v>
      </c>
      <c r="H5" t="s">
        <v>849</v>
      </c>
    </row>
    <row r="6" spans="1:9" x14ac:dyDescent="0.25">
      <c r="A6" s="27">
        <v>4</v>
      </c>
      <c r="B6" t="s">
        <v>143</v>
      </c>
      <c r="C6" t="s">
        <v>850</v>
      </c>
      <c r="F6">
        <v>4</v>
      </c>
      <c r="G6" t="s">
        <v>851</v>
      </c>
      <c r="H6" t="s">
        <v>852</v>
      </c>
    </row>
    <row r="7" spans="1:9" x14ac:dyDescent="0.25">
      <c r="A7" s="27">
        <v>5</v>
      </c>
      <c r="B7" t="s">
        <v>143</v>
      </c>
      <c r="C7" t="s">
        <v>853</v>
      </c>
      <c r="F7">
        <v>5</v>
      </c>
      <c r="G7" t="s">
        <v>143</v>
      </c>
      <c r="H7" t="s">
        <v>854</v>
      </c>
    </row>
    <row r="8" spans="1:9" x14ac:dyDescent="0.25">
      <c r="A8" s="27">
        <v>6</v>
      </c>
      <c r="B8" t="s">
        <v>143</v>
      </c>
      <c r="C8" t="s">
        <v>855</v>
      </c>
      <c r="F8">
        <v>6</v>
      </c>
      <c r="G8" t="s">
        <v>143</v>
      </c>
      <c r="H8" t="s">
        <v>856</v>
      </c>
    </row>
    <row r="9" spans="1:9" x14ac:dyDescent="0.25">
      <c r="A9" s="27">
        <v>7</v>
      </c>
      <c r="B9" t="s">
        <v>143</v>
      </c>
      <c r="C9" t="s">
        <v>857</v>
      </c>
      <c r="F9">
        <v>7</v>
      </c>
      <c r="G9" t="s">
        <v>858</v>
      </c>
      <c r="H9" t="s">
        <v>859</v>
      </c>
    </row>
    <row r="10" spans="1:9" x14ac:dyDescent="0.25">
      <c r="A10" s="27">
        <v>8</v>
      </c>
      <c r="B10" t="s">
        <v>143</v>
      </c>
      <c r="C10" t="s">
        <v>860</v>
      </c>
    </row>
    <row r="11" spans="1:9" x14ac:dyDescent="0.25">
      <c r="A11" s="27">
        <v>9</v>
      </c>
      <c r="B11" t="s">
        <v>143</v>
      </c>
      <c r="C11" t="s">
        <v>861</v>
      </c>
    </row>
    <row r="12" spans="1:9" x14ac:dyDescent="0.25">
      <c r="A12" s="27">
        <v>10</v>
      </c>
      <c r="B12" t="s">
        <v>143</v>
      </c>
      <c r="C12" t="s">
        <v>862</v>
      </c>
    </row>
    <row r="13" spans="1:9" x14ac:dyDescent="0.25">
      <c r="A13" s="27">
        <v>11</v>
      </c>
      <c r="B13" t="s">
        <v>143</v>
      </c>
      <c r="C13" t="s">
        <v>863</v>
      </c>
    </row>
    <row r="14" spans="1:9" x14ac:dyDescent="0.25">
      <c r="A14" s="27">
        <v>12</v>
      </c>
      <c r="B14" t="s">
        <v>143</v>
      </c>
      <c r="C14" t="s">
        <v>864</v>
      </c>
    </row>
    <row r="15" spans="1:9" x14ac:dyDescent="0.25">
      <c r="A15" s="27">
        <v>13</v>
      </c>
      <c r="B15" t="s">
        <v>143</v>
      </c>
      <c r="C15" t="s">
        <v>865</v>
      </c>
    </row>
    <row r="16" spans="1:9" x14ac:dyDescent="0.25">
      <c r="A16" s="27">
        <v>14</v>
      </c>
      <c r="B16" t="s">
        <v>143</v>
      </c>
      <c r="C16" t="s">
        <v>866</v>
      </c>
    </row>
    <row r="17" spans="1:3" x14ac:dyDescent="0.25">
      <c r="A17" s="27">
        <v>15</v>
      </c>
      <c r="B17" t="s">
        <v>143</v>
      </c>
      <c r="C17" t="s">
        <v>867</v>
      </c>
    </row>
    <row r="18" spans="1:3" x14ac:dyDescent="0.25">
      <c r="A18" s="27">
        <v>16</v>
      </c>
      <c r="B18" t="s">
        <v>143</v>
      </c>
      <c r="C18" t="s">
        <v>868</v>
      </c>
    </row>
    <row r="19" spans="1:3" x14ac:dyDescent="0.25">
      <c r="A19" s="27">
        <v>17</v>
      </c>
      <c r="B19" t="s">
        <v>143</v>
      </c>
      <c r="C19" t="s">
        <v>869</v>
      </c>
    </row>
    <row r="20" spans="1:3" x14ac:dyDescent="0.25">
      <c r="A20" s="27">
        <v>18</v>
      </c>
      <c r="B20" t="s">
        <v>143</v>
      </c>
      <c r="C20" t="s">
        <v>870</v>
      </c>
    </row>
    <row r="21" spans="1:3" x14ac:dyDescent="0.25">
      <c r="A21" s="27">
        <v>19</v>
      </c>
      <c r="B21" t="s">
        <v>143</v>
      </c>
      <c r="C21" t="s">
        <v>871</v>
      </c>
    </row>
    <row r="22" spans="1:3" x14ac:dyDescent="0.25">
      <c r="A22" s="27">
        <v>20</v>
      </c>
      <c r="B22" t="s">
        <v>143</v>
      </c>
      <c r="C22" t="s">
        <v>872</v>
      </c>
    </row>
    <row r="23" spans="1:3" x14ac:dyDescent="0.25">
      <c r="A23" s="27">
        <v>21</v>
      </c>
      <c r="B23" t="s">
        <v>143</v>
      </c>
      <c r="C23" t="s">
        <v>873</v>
      </c>
    </row>
    <row r="24" spans="1:3" x14ac:dyDescent="0.25">
      <c r="A24" s="27">
        <v>22</v>
      </c>
      <c r="B24" t="s">
        <v>143</v>
      </c>
      <c r="C24" t="s">
        <v>874</v>
      </c>
    </row>
    <row r="25" spans="1:3" x14ac:dyDescent="0.25">
      <c r="A25" s="27">
        <v>23</v>
      </c>
      <c r="B25" t="s">
        <v>143</v>
      </c>
      <c r="C25" t="s">
        <v>875</v>
      </c>
    </row>
    <row r="26" spans="1:3" x14ac:dyDescent="0.25">
      <c r="A26" s="27">
        <v>24</v>
      </c>
      <c r="B26" t="s">
        <v>143</v>
      </c>
      <c r="C26" t="s">
        <v>876</v>
      </c>
    </row>
    <row r="27" spans="1:3" x14ac:dyDescent="0.25">
      <c r="A27" s="27">
        <v>25</v>
      </c>
      <c r="B27" t="s">
        <v>143</v>
      </c>
      <c r="C27" t="s">
        <v>877</v>
      </c>
    </row>
    <row r="28" spans="1:3" x14ac:dyDescent="0.25">
      <c r="A28" s="27">
        <v>26</v>
      </c>
      <c r="B28" t="s">
        <v>143</v>
      </c>
      <c r="C28" t="s">
        <v>878</v>
      </c>
    </row>
    <row r="29" spans="1:3" x14ac:dyDescent="0.25">
      <c r="A29" s="27">
        <v>27</v>
      </c>
      <c r="B29" t="s">
        <v>143</v>
      </c>
      <c r="C29" t="s">
        <v>879</v>
      </c>
    </row>
    <row r="30" spans="1:3" x14ac:dyDescent="0.25">
      <c r="A30" s="27">
        <v>28</v>
      </c>
      <c r="B30" t="s">
        <v>143</v>
      </c>
      <c r="C30" t="s">
        <v>880</v>
      </c>
    </row>
    <row r="31" spans="1:3" x14ac:dyDescent="0.25">
      <c r="A31" s="27">
        <v>29</v>
      </c>
      <c r="B31" t="s">
        <v>143</v>
      </c>
      <c r="C31" t="s">
        <v>881</v>
      </c>
    </row>
    <row r="32" spans="1:3" x14ac:dyDescent="0.25">
      <c r="A32" s="27">
        <v>30</v>
      </c>
      <c r="B32" t="s">
        <v>143</v>
      </c>
      <c r="C32" t="s">
        <v>882</v>
      </c>
    </row>
    <row r="33" spans="1:3" x14ac:dyDescent="0.25">
      <c r="A33" s="27">
        <v>31</v>
      </c>
      <c r="B33" t="s">
        <v>143</v>
      </c>
      <c r="C33" t="s">
        <v>883</v>
      </c>
    </row>
  </sheetData>
  <pageMargins left="0.7" right="0.7" top="0.75" bottom="0.75" header="0.3" footer="0.3"/>
  <pageSetup orientation="portrait" horizontalDpi="300" verticalDpi="3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3"/>
  <dimension ref="B2:F92"/>
  <sheetViews>
    <sheetView topLeftCell="A16" workbookViewId="0">
      <selection activeCell="C16" sqref="C16"/>
    </sheetView>
  </sheetViews>
  <sheetFormatPr defaultRowHeight="15" x14ac:dyDescent="0.25"/>
  <cols>
    <col min="2" max="2" width="73.28515625" bestFit="1" customWidth="1"/>
    <col min="3" max="3" width="19.7109375" bestFit="1" customWidth="1"/>
    <col min="4" max="4" width="76.7109375" bestFit="1" customWidth="1"/>
    <col min="5" max="5" width="52.42578125" bestFit="1" customWidth="1"/>
    <col min="6" max="6" width="28.28515625" bestFit="1" customWidth="1"/>
  </cols>
  <sheetData>
    <row r="2" spans="2:3" x14ac:dyDescent="0.25">
      <c r="B2" s="13" t="s">
        <v>14</v>
      </c>
      <c r="C2" t="str">
        <f>TRIM(B2)</f>
        <v>OsTask_10msCAN</v>
      </c>
    </row>
    <row r="3" spans="2:3" x14ac:dyDescent="0.25">
      <c r="B3" s="13" t="s">
        <v>15</v>
      </c>
      <c r="C3" t="str">
        <f t="shared" ref="C3:C16" si="0">TRIM(B3)</f>
        <v>OsTask_10msEcuM</v>
      </c>
    </row>
    <row r="4" spans="2:3" x14ac:dyDescent="0.25">
      <c r="B4" s="13" t="s">
        <v>16</v>
      </c>
      <c r="C4" t="str">
        <f t="shared" si="0"/>
        <v>OsTask_20msHP</v>
      </c>
    </row>
    <row r="5" spans="2:3" x14ac:dyDescent="0.25">
      <c r="B5" s="13" t="s">
        <v>17</v>
      </c>
      <c r="C5" t="str">
        <f t="shared" si="0"/>
        <v>OsTask_50ms</v>
      </c>
    </row>
    <row r="6" spans="2:3" x14ac:dyDescent="0.25">
      <c r="B6" s="13" t="s">
        <v>18</v>
      </c>
      <c r="C6" t="str">
        <f t="shared" si="0"/>
        <v>OsTask_100ms</v>
      </c>
    </row>
    <row r="7" spans="2:3" x14ac:dyDescent="0.25">
      <c r="B7" s="13" t="s">
        <v>19</v>
      </c>
      <c r="C7" t="str">
        <f t="shared" si="0"/>
        <v>AppTask_10msLP</v>
      </c>
    </row>
    <row r="8" spans="2:3" x14ac:dyDescent="0.25">
      <c r="B8" s="13" t="s">
        <v>20</v>
      </c>
      <c r="C8" t="str">
        <f t="shared" si="0"/>
        <v>OsTask_8ms</v>
      </c>
    </row>
    <row r="9" spans="2:3" x14ac:dyDescent="0.25">
      <c r="B9" s="13" t="s">
        <v>21</v>
      </c>
      <c r="C9" t="str">
        <f t="shared" si="0"/>
        <v>OsTask_RteEvent</v>
      </c>
    </row>
    <row r="10" spans="2:3" x14ac:dyDescent="0.25">
      <c r="B10" s="13" t="s">
        <v>22</v>
      </c>
      <c r="C10" t="str">
        <f t="shared" si="0"/>
        <v>OsTask_Gdt</v>
      </c>
    </row>
    <row r="11" spans="2:3" x14ac:dyDescent="0.25">
      <c r="B11" s="13" t="s">
        <v>23</v>
      </c>
      <c r="C11" t="str">
        <f t="shared" si="0"/>
        <v>StartupTwo</v>
      </c>
    </row>
    <row r="12" spans="2:3" x14ac:dyDescent="0.25">
      <c r="B12" s="13" t="s">
        <v>24</v>
      </c>
      <c r="C12" t="str">
        <f t="shared" si="0"/>
        <v>OsTask_2ms</v>
      </c>
    </row>
    <row r="13" spans="2:3" x14ac:dyDescent="0.25">
      <c r="B13" s="13" t="s">
        <v>25</v>
      </c>
      <c r="C13" t="str">
        <f t="shared" si="0"/>
        <v>OsTask_20msMP</v>
      </c>
    </row>
    <row r="14" spans="2:3" x14ac:dyDescent="0.25">
      <c r="B14" s="13" t="s">
        <v>26</v>
      </c>
      <c r="C14" t="str">
        <f t="shared" si="0"/>
        <v>OsTask_30ms</v>
      </c>
    </row>
    <row r="15" spans="2:3" x14ac:dyDescent="0.25">
      <c r="B15" s="13" t="s">
        <v>27</v>
      </c>
      <c r="C15" t="str">
        <f t="shared" si="0"/>
        <v>OsTask_30msSnd</v>
      </c>
    </row>
    <row r="16" spans="2:3" ht="15.75" thickBot="1" x14ac:dyDescent="0.3">
      <c r="B16" s="16" t="s">
        <v>28</v>
      </c>
      <c r="C16" t="str">
        <f t="shared" si="0"/>
        <v>OsTask_StackMesure</v>
      </c>
    </row>
    <row r="19" spans="2:6" x14ac:dyDescent="0.25">
      <c r="B19" t="s">
        <v>699</v>
      </c>
      <c r="C19" t="s">
        <v>700</v>
      </c>
      <c r="D19" t="s">
        <v>38</v>
      </c>
      <c r="E19" t="s">
        <v>701</v>
      </c>
      <c r="F19" t="s">
        <v>100</v>
      </c>
    </row>
    <row r="20" spans="2:6" x14ac:dyDescent="0.25">
      <c r="B20" t="s">
        <v>699</v>
      </c>
      <c r="C20" t="s">
        <v>700</v>
      </c>
      <c r="D20" t="s">
        <v>681</v>
      </c>
      <c r="E20" t="s">
        <v>702</v>
      </c>
      <c r="F20" t="s">
        <v>101</v>
      </c>
    </row>
    <row r="21" spans="2:6" x14ac:dyDescent="0.25">
      <c r="B21" t="s">
        <v>699</v>
      </c>
      <c r="C21" t="s">
        <v>700</v>
      </c>
      <c r="D21" t="s">
        <v>683</v>
      </c>
      <c r="E21" t="s">
        <v>702</v>
      </c>
      <c r="F21" t="s">
        <v>100</v>
      </c>
    </row>
    <row r="22" spans="2:6" x14ac:dyDescent="0.25">
      <c r="B22" t="s">
        <v>699</v>
      </c>
      <c r="C22" t="s">
        <v>700</v>
      </c>
      <c r="D22" t="s">
        <v>684</v>
      </c>
      <c r="E22" t="s">
        <v>702</v>
      </c>
      <c r="F22" t="s">
        <v>100</v>
      </c>
    </row>
    <row r="23" spans="2:6" x14ac:dyDescent="0.25">
      <c r="B23" t="s">
        <v>699</v>
      </c>
      <c r="C23" t="s">
        <v>700</v>
      </c>
      <c r="D23" t="s">
        <v>43</v>
      </c>
      <c r="E23" t="s">
        <v>703</v>
      </c>
      <c r="F23" t="s">
        <v>102</v>
      </c>
    </row>
    <row r="24" spans="2:6" x14ac:dyDescent="0.25">
      <c r="B24" t="s">
        <v>699</v>
      </c>
      <c r="C24" t="s">
        <v>700</v>
      </c>
      <c r="D24" t="s">
        <v>685</v>
      </c>
      <c r="E24" t="s">
        <v>703</v>
      </c>
      <c r="F24" t="s">
        <v>103</v>
      </c>
    </row>
    <row r="25" spans="2:6" x14ac:dyDescent="0.25">
      <c r="B25" t="s">
        <v>699</v>
      </c>
      <c r="C25" t="s">
        <v>700</v>
      </c>
      <c r="D25" t="s">
        <v>704</v>
      </c>
      <c r="E25" t="s">
        <v>703</v>
      </c>
      <c r="F25" t="s">
        <v>104</v>
      </c>
    </row>
    <row r="26" spans="2:6" x14ac:dyDescent="0.25">
      <c r="B26" t="s">
        <v>699</v>
      </c>
      <c r="C26" t="s">
        <v>700</v>
      </c>
      <c r="D26" t="s">
        <v>705</v>
      </c>
      <c r="E26" t="s">
        <v>706</v>
      </c>
      <c r="F26" t="s">
        <v>105</v>
      </c>
    </row>
    <row r="27" spans="2:6" x14ac:dyDescent="0.25">
      <c r="B27" t="s">
        <v>699</v>
      </c>
      <c r="C27" t="s">
        <v>700</v>
      </c>
      <c r="D27" t="s">
        <v>707</v>
      </c>
      <c r="E27" t="s">
        <v>708</v>
      </c>
      <c r="F27" t="s">
        <v>99</v>
      </c>
    </row>
    <row r="28" spans="2:6" x14ac:dyDescent="0.25">
      <c r="B28" t="s">
        <v>699</v>
      </c>
      <c r="C28" t="s">
        <v>700</v>
      </c>
      <c r="D28" t="s">
        <v>709</v>
      </c>
      <c r="E28" t="s">
        <v>710</v>
      </c>
      <c r="F28" t="s">
        <v>106</v>
      </c>
    </row>
    <row r="29" spans="2:6" x14ac:dyDescent="0.25">
      <c r="B29" t="s">
        <v>699</v>
      </c>
      <c r="C29" t="s">
        <v>700</v>
      </c>
      <c r="D29" t="s">
        <v>711</v>
      </c>
      <c r="E29" t="s">
        <v>712</v>
      </c>
      <c r="F29" t="s">
        <v>103</v>
      </c>
    </row>
    <row r="30" spans="2:6" x14ac:dyDescent="0.25">
      <c r="B30" t="s">
        <v>699</v>
      </c>
      <c r="C30" t="s">
        <v>700</v>
      </c>
      <c r="D30" t="s">
        <v>713</v>
      </c>
      <c r="E30" t="s">
        <v>714</v>
      </c>
      <c r="F30" t="s">
        <v>100</v>
      </c>
    </row>
    <row r="31" spans="2:6" x14ac:dyDescent="0.25">
      <c r="B31" t="s">
        <v>699</v>
      </c>
      <c r="C31" t="s">
        <v>700</v>
      </c>
      <c r="D31" t="s">
        <v>715</v>
      </c>
      <c r="E31" t="s">
        <v>716</v>
      </c>
      <c r="F31" t="s">
        <v>106</v>
      </c>
    </row>
    <row r="32" spans="2:6" x14ac:dyDescent="0.25">
      <c r="B32" t="s">
        <v>699</v>
      </c>
      <c r="C32" t="s">
        <v>700</v>
      </c>
      <c r="D32" t="s">
        <v>717</v>
      </c>
      <c r="E32" t="s">
        <v>718</v>
      </c>
      <c r="F32" t="s">
        <v>104</v>
      </c>
    </row>
    <row r="33" spans="2:6" x14ac:dyDescent="0.25">
      <c r="B33" t="s">
        <v>699</v>
      </c>
      <c r="C33" t="s">
        <v>700</v>
      </c>
      <c r="D33" t="s">
        <v>719</v>
      </c>
      <c r="E33" t="s">
        <v>720</v>
      </c>
      <c r="F33" t="s">
        <v>104</v>
      </c>
    </row>
    <row r="34" spans="2:6" x14ac:dyDescent="0.25">
      <c r="B34" t="s">
        <v>699</v>
      </c>
      <c r="C34" t="s">
        <v>700</v>
      </c>
      <c r="D34" t="s">
        <v>721</v>
      </c>
      <c r="E34" t="s">
        <v>722</v>
      </c>
      <c r="F34" t="s">
        <v>104</v>
      </c>
    </row>
    <row r="35" spans="2:6" x14ac:dyDescent="0.25">
      <c r="B35" t="s">
        <v>699</v>
      </c>
      <c r="C35" t="s">
        <v>700</v>
      </c>
      <c r="D35" t="s">
        <v>723</v>
      </c>
      <c r="E35" t="s">
        <v>724</v>
      </c>
      <c r="F35" t="s">
        <v>108</v>
      </c>
    </row>
    <row r="36" spans="2:6" x14ac:dyDescent="0.25">
      <c r="B36" t="s">
        <v>699</v>
      </c>
      <c r="C36" t="s">
        <v>700</v>
      </c>
      <c r="D36" t="s">
        <v>725</v>
      </c>
      <c r="E36" t="s">
        <v>702</v>
      </c>
      <c r="F36" t="s">
        <v>109</v>
      </c>
    </row>
    <row r="37" spans="2:6" x14ac:dyDescent="0.25">
      <c r="B37" t="s">
        <v>699</v>
      </c>
      <c r="C37" t="s">
        <v>700</v>
      </c>
      <c r="D37" t="s">
        <v>726</v>
      </c>
      <c r="E37" t="s">
        <v>702</v>
      </c>
      <c r="F37" t="s">
        <v>110</v>
      </c>
    </row>
    <row r="38" spans="2:6" x14ac:dyDescent="0.25">
      <c r="B38" t="s">
        <v>699</v>
      </c>
      <c r="C38" t="s">
        <v>700</v>
      </c>
      <c r="D38" t="s">
        <v>727</v>
      </c>
      <c r="E38" t="s">
        <v>703</v>
      </c>
      <c r="F38" t="s">
        <v>104</v>
      </c>
    </row>
    <row r="39" spans="2:6" x14ac:dyDescent="0.25">
      <c r="B39" t="s">
        <v>699</v>
      </c>
      <c r="C39" t="s">
        <v>700</v>
      </c>
      <c r="D39" t="s">
        <v>728</v>
      </c>
      <c r="E39" t="s">
        <v>729</v>
      </c>
      <c r="F39" t="s">
        <v>111</v>
      </c>
    </row>
    <row r="40" spans="2:6" x14ac:dyDescent="0.25">
      <c r="B40" t="s">
        <v>699</v>
      </c>
      <c r="C40" t="s">
        <v>700</v>
      </c>
      <c r="D40" t="s">
        <v>730</v>
      </c>
      <c r="E40" t="s">
        <v>731</v>
      </c>
      <c r="F40" t="s">
        <v>104</v>
      </c>
    </row>
    <row r="41" spans="2:6" x14ac:dyDescent="0.25">
      <c r="B41" t="s">
        <v>699</v>
      </c>
      <c r="C41" t="s">
        <v>700</v>
      </c>
      <c r="D41" t="s">
        <v>732</v>
      </c>
      <c r="E41" t="s">
        <v>733</v>
      </c>
    </row>
    <row r="42" spans="2:6" x14ac:dyDescent="0.25">
      <c r="B42" t="s">
        <v>699</v>
      </c>
      <c r="C42" t="s">
        <v>700</v>
      </c>
      <c r="D42" t="s">
        <v>734</v>
      </c>
      <c r="E42" t="s">
        <v>735</v>
      </c>
    </row>
    <row r="43" spans="2:6" x14ac:dyDescent="0.25">
      <c r="B43" t="s">
        <v>699</v>
      </c>
      <c r="C43" t="s">
        <v>700</v>
      </c>
      <c r="D43" t="s">
        <v>736</v>
      </c>
      <c r="E43" t="s">
        <v>737</v>
      </c>
    </row>
    <row r="44" spans="2:6" x14ac:dyDescent="0.25">
      <c r="B44" t="s">
        <v>699</v>
      </c>
      <c r="C44" t="s">
        <v>700</v>
      </c>
      <c r="D44" t="s">
        <v>738</v>
      </c>
      <c r="E44" t="s">
        <v>739</v>
      </c>
    </row>
    <row r="45" spans="2:6" x14ac:dyDescent="0.25">
      <c r="B45" t="s">
        <v>699</v>
      </c>
      <c r="C45" t="s">
        <v>700</v>
      </c>
      <c r="D45" t="s">
        <v>740</v>
      </c>
      <c r="E45" t="s">
        <v>741</v>
      </c>
    </row>
    <row r="46" spans="2:6" x14ac:dyDescent="0.25">
      <c r="B46" t="s">
        <v>699</v>
      </c>
      <c r="C46" t="s">
        <v>700</v>
      </c>
      <c r="D46" t="s">
        <v>742</v>
      </c>
      <c r="E46" t="s">
        <v>743</v>
      </c>
    </row>
    <row r="47" spans="2:6" x14ac:dyDescent="0.25">
      <c r="B47" t="s">
        <v>699</v>
      </c>
      <c r="C47" t="s">
        <v>700</v>
      </c>
      <c r="D47" t="s">
        <v>744</v>
      </c>
      <c r="E47" t="s">
        <v>745</v>
      </c>
    </row>
    <row r="48" spans="2:6" x14ac:dyDescent="0.25">
      <c r="B48" t="s">
        <v>699</v>
      </c>
      <c r="C48" t="s">
        <v>700</v>
      </c>
      <c r="D48" t="s">
        <v>746</v>
      </c>
      <c r="E48" t="s">
        <v>703</v>
      </c>
    </row>
    <row r="49" spans="2:5" x14ac:dyDescent="0.25">
      <c r="B49" t="s">
        <v>699</v>
      </c>
      <c r="C49" t="s">
        <v>700</v>
      </c>
      <c r="D49" t="s">
        <v>747</v>
      </c>
      <c r="E49" t="s">
        <v>748</v>
      </c>
    </row>
    <row r="50" spans="2:5" x14ac:dyDescent="0.25">
      <c r="B50" t="s">
        <v>699</v>
      </c>
      <c r="C50" t="s">
        <v>700</v>
      </c>
      <c r="D50" t="s">
        <v>749</v>
      </c>
      <c r="E50" t="s">
        <v>750</v>
      </c>
    </row>
    <row r="51" spans="2:5" x14ac:dyDescent="0.25">
      <c r="B51" t="s">
        <v>699</v>
      </c>
      <c r="C51" t="s">
        <v>700</v>
      </c>
      <c r="D51" t="s">
        <v>751</v>
      </c>
      <c r="E51" t="s">
        <v>752</v>
      </c>
    </row>
    <row r="52" spans="2:5" x14ac:dyDescent="0.25">
      <c r="B52" t="s">
        <v>699</v>
      </c>
      <c r="C52" t="s">
        <v>700</v>
      </c>
      <c r="D52" t="s">
        <v>753</v>
      </c>
      <c r="E52" t="s">
        <v>754</v>
      </c>
    </row>
    <row r="53" spans="2:5" x14ac:dyDescent="0.25">
      <c r="B53" t="s">
        <v>699</v>
      </c>
      <c r="C53" t="s">
        <v>700</v>
      </c>
      <c r="D53" t="s">
        <v>755</v>
      </c>
      <c r="E53" t="s">
        <v>756</v>
      </c>
    </row>
    <row r="54" spans="2:5" x14ac:dyDescent="0.25">
      <c r="B54" t="s">
        <v>699</v>
      </c>
      <c r="C54" t="s">
        <v>700</v>
      </c>
      <c r="D54" t="s">
        <v>757</v>
      </c>
      <c r="E54" t="s">
        <v>758</v>
      </c>
    </row>
    <row r="55" spans="2:5" x14ac:dyDescent="0.25">
      <c r="B55" t="s">
        <v>699</v>
      </c>
      <c r="C55" t="s">
        <v>700</v>
      </c>
      <c r="D55" t="s">
        <v>759</v>
      </c>
      <c r="E55" t="s">
        <v>760</v>
      </c>
    </row>
    <row r="56" spans="2:5" x14ac:dyDescent="0.25">
      <c r="B56" t="s">
        <v>699</v>
      </c>
      <c r="C56" t="s">
        <v>700</v>
      </c>
      <c r="D56" t="s">
        <v>761</v>
      </c>
      <c r="E56" t="s">
        <v>762</v>
      </c>
    </row>
    <row r="57" spans="2:5" x14ac:dyDescent="0.25">
      <c r="B57" t="s">
        <v>699</v>
      </c>
      <c r="C57" t="s">
        <v>700</v>
      </c>
      <c r="D57" t="s">
        <v>763</v>
      </c>
      <c r="E57" t="s">
        <v>764</v>
      </c>
    </row>
    <row r="58" spans="2:5" x14ac:dyDescent="0.25">
      <c r="B58" t="s">
        <v>699</v>
      </c>
      <c r="C58" t="s">
        <v>700</v>
      </c>
      <c r="D58" t="s">
        <v>765</v>
      </c>
      <c r="E58" t="s">
        <v>766</v>
      </c>
    </row>
    <row r="59" spans="2:5" x14ac:dyDescent="0.25">
      <c r="B59" t="s">
        <v>699</v>
      </c>
      <c r="C59" t="s">
        <v>700</v>
      </c>
      <c r="D59" t="s">
        <v>767</v>
      </c>
      <c r="E59" t="s">
        <v>768</v>
      </c>
    </row>
    <row r="60" spans="2:5" x14ac:dyDescent="0.25">
      <c r="B60" t="s">
        <v>699</v>
      </c>
      <c r="C60" t="s">
        <v>700</v>
      </c>
      <c r="D60" t="s">
        <v>769</v>
      </c>
      <c r="E60" t="s">
        <v>770</v>
      </c>
    </row>
    <row r="61" spans="2:5" x14ac:dyDescent="0.25">
      <c r="B61" t="s">
        <v>699</v>
      </c>
      <c r="C61" t="s">
        <v>700</v>
      </c>
      <c r="D61" t="s">
        <v>771</v>
      </c>
      <c r="E61" t="s">
        <v>772</v>
      </c>
    </row>
    <row r="62" spans="2:5" x14ac:dyDescent="0.25">
      <c r="B62" t="s">
        <v>699</v>
      </c>
      <c r="C62" t="s">
        <v>700</v>
      </c>
      <c r="D62" t="s">
        <v>773</v>
      </c>
      <c r="E62" t="s">
        <v>774</v>
      </c>
    </row>
    <row r="63" spans="2:5" x14ac:dyDescent="0.25">
      <c r="B63" t="s">
        <v>699</v>
      </c>
      <c r="C63" t="s">
        <v>700</v>
      </c>
      <c r="D63" t="s">
        <v>775</v>
      </c>
      <c r="E63" t="s">
        <v>776</v>
      </c>
    </row>
    <row r="64" spans="2:5" x14ac:dyDescent="0.25">
      <c r="B64" t="s">
        <v>699</v>
      </c>
      <c r="C64" t="s">
        <v>700</v>
      </c>
      <c r="D64" t="s">
        <v>777</v>
      </c>
      <c r="E64" t="s">
        <v>778</v>
      </c>
    </row>
    <row r="65" spans="2:5" x14ac:dyDescent="0.25">
      <c r="B65" t="s">
        <v>699</v>
      </c>
      <c r="C65" t="s">
        <v>700</v>
      </c>
      <c r="D65" t="s">
        <v>779</v>
      </c>
      <c r="E65" t="s">
        <v>780</v>
      </c>
    </row>
    <row r="66" spans="2:5" x14ac:dyDescent="0.25">
      <c r="B66" t="s">
        <v>699</v>
      </c>
      <c r="C66" t="s">
        <v>700</v>
      </c>
      <c r="D66" t="s">
        <v>781</v>
      </c>
      <c r="E66" t="s">
        <v>782</v>
      </c>
    </row>
    <row r="67" spans="2:5" x14ac:dyDescent="0.25">
      <c r="B67" t="s">
        <v>699</v>
      </c>
      <c r="C67" t="s">
        <v>700</v>
      </c>
      <c r="D67" t="s">
        <v>783</v>
      </c>
      <c r="E67" t="s">
        <v>784</v>
      </c>
    </row>
    <row r="68" spans="2:5" x14ac:dyDescent="0.25">
      <c r="B68" t="s">
        <v>699</v>
      </c>
      <c r="C68" t="s">
        <v>700</v>
      </c>
      <c r="D68" t="s">
        <v>785</v>
      </c>
      <c r="E68" t="s">
        <v>786</v>
      </c>
    </row>
    <row r="69" spans="2:5" x14ac:dyDescent="0.25">
      <c r="B69" t="s">
        <v>699</v>
      </c>
      <c r="C69" t="s">
        <v>700</v>
      </c>
      <c r="D69" t="s">
        <v>787</v>
      </c>
      <c r="E69" t="s">
        <v>788</v>
      </c>
    </row>
    <row r="70" spans="2:5" x14ac:dyDescent="0.25">
      <c r="B70" t="s">
        <v>699</v>
      </c>
      <c r="C70" t="s">
        <v>700</v>
      </c>
      <c r="D70" t="s">
        <v>789</v>
      </c>
      <c r="E70" t="s">
        <v>790</v>
      </c>
    </row>
    <row r="71" spans="2:5" x14ac:dyDescent="0.25">
      <c r="B71" t="s">
        <v>699</v>
      </c>
      <c r="C71" t="s">
        <v>700</v>
      </c>
      <c r="D71" t="s">
        <v>791</v>
      </c>
      <c r="E71" t="s">
        <v>792</v>
      </c>
    </row>
    <row r="72" spans="2:5" x14ac:dyDescent="0.25">
      <c r="B72" t="s">
        <v>699</v>
      </c>
      <c r="C72" t="s">
        <v>700</v>
      </c>
      <c r="D72" t="s">
        <v>793</v>
      </c>
      <c r="E72" t="s">
        <v>794</v>
      </c>
    </row>
    <row r="73" spans="2:5" x14ac:dyDescent="0.25">
      <c r="B73" t="s">
        <v>699</v>
      </c>
      <c r="C73" t="s">
        <v>700</v>
      </c>
      <c r="D73" t="s">
        <v>795</v>
      </c>
      <c r="E73" t="s">
        <v>796</v>
      </c>
    </row>
    <row r="74" spans="2:5" x14ac:dyDescent="0.25">
      <c r="B74" t="s">
        <v>699</v>
      </c>
      <c r="C74" t="s">
        <v>700</v>
      </c>
      <c r="D74" t="s">
        <v>797</v>
      </c>
      <c r="E74" t="s">
        <v>798</v>
      </c>
    </row>
    <row r="75" spans="2:5" x14ac:dyDescent="0.25">
      <c r="B75" t="s">
        <v>699</v>
      </c>
      <c r="C75" t="s">
        <v>700</v>
      </c>
      <c r="D75" t="s">
        <v>799</v>
      </c>
      <c r="E75" t="s">
        <v>800</v>
      </c>
    </row>
    <row r="76" spans="2:5" x14ac:dyDescent="0.25">
      <c r="B76" t="s">
        <v>699</v>
      </c>
      <c r="C76" t="s">
        <v>700</v>
      </c>
      <c r="D76" t="s">
        <v>801</v>
      </c>
      <c r="E76" t="s">
        <v>802</v>
      </c>
    </row>
    <row r="77" spans="2:5" x14ac:dyDescent="0.25">
      <c r="B77" t="s">
        <v>699</v>
      </c>
      <c r="C77" t="s">
        <v>700</v>
      </c>
      <c r="D77" t="s">
        <v>803</v>
      </c>
      <c r="E77" t="s">
        <v>804</v>
      </c>
    </row>
    <row r="78" spans="2:5" x14ac:dyDescent="0.25">
      <c r="B78" t="s">
        <v>699</v>
      </c>
      <c r="C78" t="s">
        <v>700</v>
      </c>
      <c r="D78" t="s">
        <v>805</v>
      </c>
      <c r="E78" t="s">
        <v>806</v>
      </c>
    </row>
    <row r="79" spans="2:5" x14ac:dyDescent="0.25">
      <c r="B79" t="s">
        <v>699</v>
      </c>
      <c r="C79" t="s">
        <v>700</v>
      </c>
      <c r="D79" t="s">
        <v>807</v>
      </c>
      <c r="E79" t="s">
        <v>808</v>
      </c>
    </row>
    <row r="80" spans="2:5" x14ac:dyDescent="0.25">
      <c r="B80" t="s">
        <v>699</v>
      </c>
      <c r="C80" t="s">
        <v>700</v>
      </c>
      <c r="D80" t="s">
        <v>809</v>
      </c>
      <c r="E80" t="s">
        <v>810</v>
      </c>
    </row>
    <row r="81" spans="2:5" x14ac:dyDescent="0.25">
      <c r="B81" t="s">
        <v>699</v>
      </c>
      <c r="C81" t="s">
        <v>700</v>
      </c>
      <c r="D81" t="s">
        <v>811</v>
      </c>
      <c r="E81" t="s">
        <v>812</v>
      </c>
    </row>
    <row r="82" spans="2:5" x14ac:dyDescent="0.25">
      <c r="B82" t="s">
        <v>699</v>
      </c>
      <c r="C82" t="s">
        <v>700</v>
      </c>
      <c r="D82" t="s">
        <v>813</v>
      </c>
      <c r="E82" t="s">
        <v>814</v>
      </c>
    </row>
    <row r="83" spans="2:5" x14ac:dyDescent="0.25">
      <c r="B83" t="s">
        <v>699</v>
      </c>
      <c r="C83" t="s">
        <v>700</v>
      </c>
      <c r="D83" t="s">
        <v>815</v>
      </c>
      <c r="E83" t="s">
        <v>816</v>
      </c>
    </row>
    <row r="84" spans="2:5" x14ac:dyDescent="0.25">
      <c r="B84" t="s">
        <v>699</v>
      </c>
      <c r="C84" t="s">
        <v>700</v>
      </c>
      <c r="D84" t="s">
        <v>817</v>
      </c>
      <c r="E84" t="s">
        <v>818</v>
      </c>
    </row>
    <row r="85" spans="2:5" x14ac:dyDescent="0.25">
      <c r="B85" t="s">
        <v>699</v>
      </c>
      <c r="C85" t="s">
        <v>700</v>
      </c>
      <c r="D85" t="s">
        <v>819</v>
      </c>
      <c r="E85" t="s">
        <v>701</v>
      </c>
    </row>
    <row r="86" spans="2:5" x14ac:dyDescent="0.25">
      <c r="B86" t="s">
        <v>699</v>
      </c>
      <c r="C86" t="s">
        <v>700</v>
      </c>
      <c r="D86" t="s">
        <v>820</v>
      </c>
      <c r="E86" t="s">
        <v>821</v>
      </c>
    </row>
    <row r="87" spans="2:5" x14ac:dyDescent="0.25">
      <c r="B87" t="s">
        <v>699</v>
      </c>
      <c r="C87" t="s">
        <v>700</v>
      </c>
      <c r="D87" t="s">
        <v>822</v>
      </c>
      <c r="E87" t="s">
        <v>823</v>
      </c>
    </row>
    <row r="88" spans="2:5" x14ac:dyDescent="0.25">
      <c r="B88" t="s">
        <v>699</v>
      </c>
      <c r="C88" t="s">
        <v>700</v>
      </c>
      <c r="D88" t="s">
        <v>824</v>
      </c>
      <c r="E88" t="s">
        <v>702</v>
      </c>
    </row>
    <row r="89" spans="2:5" x14ac:dyDescent="0.25">
      <c r="B89" t="s">
        <v>699</v>
      </c>
      <c r="C89" t="s">
        <v>700</v>
      </c>
      <c r="D89" t="s">
        <v>825</v>
      </c>
      <c r="E89" t="s">
        <v>826</v>
      </c>
    </row>
    <row r="90" spans="2:5" x14ac:dyDescent="0.25">
      <c r="B90" t="s">
        <v>699</v>
      </c>
      <c r="C90" t="s">
        <v>700</v>
      </c>
      <c r="D90" t="s">
        <v>827</v>
      </c>
      <c r="E90" t="s">
        <v>828</v>
      </c>
    </row>
    <row r="91" spans="2:5" x14ac:dyDescent="0.25">
      <c r="B91" t="s">
        <v>699</v>
      </c>
      <c r="C91" t="s">
        <v>700</v>
      </c>
      <c r="D91" t="s">
        <v>829</v>
      </c>
      <c r="E91" t="s">
        <v>830</v>
      </c>
    </row>
    <row r="92" spans="2:5" x14ac:dyDescent="0.25">
      <c r="B92" t="s">
        <v>699</v>
      </c>
      <c r="C92" t="s">
        <v>700</v>
      </c>
      <c r="D92" t="s">
        <v>831</v>
      </c>
      <c r="E92" t="s">
        <v>832</v>
      </c>
    </row>
  </sheetData>
  <pageMargins left="0.7" right="0.7" top="0.75" bottom="0.75" header="0.3" footer="0.3"/>
  <pageSetup orientation="portrait" horizontalDpi="300" verticalDpi="30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4"/>
  <dimension ref="B2:C18"/>
  <sheetViews>
    <sheetView workbookViewId="0">
      <selection activeCell="C15" sqref="C15:C16"/>
    </sheetView>
  </sheetViews>
  <sheetFormatPr defaultRowHeight="15" x14ac:dyDescent="0.25"/>
  <cols>
    <col min="2" max="2" width="28.28515625" bestFit="1" customWidth="1"/>
    <col min="3" max="3" width="24.7109375" bestFit="1" customWidth="1"/>
  </cols>
  <sheetData>
    <row r="2" spans="2:3" x14ac:dyDescent="0.25">
      <c r="B2" t="s">
        <v>114</v>
      </c>
      <c r="C2" t="s">
        <v>112</v>
      </c>
    </row>
    <row r="3" spans="2:3" x14ac:dyDescent="0.25">
      <c r="B3" t="s">
        <v>115</v>
      </c>
      <c r="C3" t="s">
        <v>112</v>
      </c>
    </row>
    <row r="4" spans="2:3" x14ac:dyDescent="0.25">
      <c r="B4" t="s">
        <v>116</v>
      </c>
      <c r="C4" t="s">
        <v>112</v>
      </c>
    </row>
    <row r="5" spans="2:3" x14ac:dyDescent="0.25">
      <c r="B5" t="s">
        <v>117</v>
      </c>
      <c r="C5" t="s">
        <v>112</v>
      </c>
    </row>
    <row r="6" spans="2:3" x14ac:dyDescent="0.25">
      <c r="B6" t="s">
        <v>118</v>
      </c>
      <c r="C6" t="s">
        <v>112</v>
      </c>
    </row>
    <row r="7" spans="2:3" x14ac:dyDescent="0.25">
      <c r="B7" t="s">
        <v>119</v>
      </c>
      <c r="C7" t="s">
        <v>112</v>
      </c>
    </row>
    <row r="8" spans="2:3" x14ac:dyDescent="0.25">
      <c r="B8" t="s">
        <v>120</v>
      </c>
      <c r="C8" t="s">
        <v>112</v>
      </c>
    </row>
    <row r="9" spans="2:3" x14ac:dyDescent="0.25">
      <c r="B9" t="s">
        <v>121</v>
      </c>
      <c r="C9" t="s">
        <v>112</v>
      </c>
    </row>
    <row r="10" spans="2:3" x14ac:dyDescent="0.25">
      <c r="B10" t="s">
        <v>122</v>
      </c>
      <c r="C10" t="s">
        <v>113</v>
      </c>
    </row>
    <row r="11" spans="2:3" x14ac:dyDescent="0.25">
      <c r="B11" s="25" t="s">
        <v>123</v>
      </c>
      <c r="C11" s="25" t="s">
        <v>113</v>
      </c>
    </row>
    <row r="12" spans="2:3" x14ac:dyDescent="0.25">
      <c r="B12" t="s">
        <v>124</v>
      </c>
      <c r="C12" t="s">
        <v>112</v>
      </c>
    </row>
    <row r="13" spans="2:3" x14ac:dyDescent="0.25">
      <c r="B13" t="s">
        <v>125</v>
      </c>
      <c r="C13" t="s">
        <v>112</v>
      </c>
    </row>
    <row r="14" spans="2:3" x14ac:dyDescent="0.25">
      <c r="B14" t="s">
        <v>126</v>
      </c>
      <c r="C14" t="s">
        <v>112</v>
      </c>
    </row>
    <row r="15" spans="2:3" x14ac:dyDescent="0.25">
      <c r="B15" t="s">
        <v>127</v>
      </c>
      <c r="C15" t="s">
        <v>112</v>
      </c>
    </row>
    <row r="16" spans="2:3" x14ac:dyDescent="0.25">
      <c r="B16" t="s">
        <v>128</v>
      </c>
      <c r="C16" t="s">
        <v>112</v>
      </c>
    </row>
    <row r="17" spans="2:3" x14ac:dyDescent="0.25">
      <c r="B17" t="s">
        <v>129</v>
      </c>
      <c r="C17" t="s">
        <v>113</v>
      </c>
    </row>
    <row r="18" spans="2:3" x14ac:dyDescent="0.25">
      <c r="B18" s="25" t="s">
        <v>130</v>
      </c>
      <c r="C18" s="25" t="s">
        <v>112</v>
      </c>
    </row>
  </sheetData>
  <pageMargins left="0.7" right="0.7" top="0.75" bottom="0.75" header="0.3" footer="0.3"/>
  <pageSetup orientation="portrait" horizontalDpi="300" verticalDpi="30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5"/>
  <dimension ref="A3:G42"/>
  <sheetViews>
    <sheetView workbookViewId="0">
      <selection activeCell="F5" sqref="F5"/>
    </sheetView>
  </sheetViews>
  <sheetFormatPr defaultRowHeight="15" x14ac:dyDescent="0.25"/>
  <cols>
    <col min="2" max="2" width="19.7109375" bestFit="1" customWidth="1"/>
    <col min="3" max="3" width="27.7109375" bestFit="1" customWidth="1"/>
    <col min="4" max="4" width="48.28515625" customWidth="1"/>
  </cols>
  <sheetData>
    <row r="3" spans="1:7" x14ac:dyDescent="0.25">
      <c r="A3" s="14">
        <v>0</v>
      </c>
      <c r="B3" s="13" t="s">
        <v>53</v>
      </c>
      <c r="C3" s="12" t="s">
        <v>69</v>
      </c>
      <c r="D3" s="12" t="s">
        <v>84</v>
      </c>
      <c r="E3" s="12">
        <v>2</v>
      </c>
      <c r="F3" s="13" t="s">
        <v>7</v>
      </c>
      <c r="G3" s="9" t="s">
        <v>10</v>
      </c>
    </row>
    <row r="4" spans="1:7" x14ac:dyDescent="0.25">
      <c r="A4" s="14">
        <v>1</v>
      </c>
      <c r="B4" s="13" t="s">
        <v>54</v>
      </c>
      <c r="C4" s="12" t="s">
        <v>70</v>
      </c>
      <c r="D4" s="12" t="s">
        <v>85</v>
      </c>
      <c r="E4" s="12">
        <v>3</v>
      </c>
      <c r="F4" s="13" t="s">
        <v>7</v>
      </c>
      <c r="G4" s="9" t="s">
        <v>10</v>
      </c>
    </row>
    <row r="5" spans="1:7" x14ac:dyDescent="0.25">
      <c r="A5" s="14">
        <v>2</v>
      </c>
      <c r="B5" s="13" t="s">
        <v>55</v>
      </c>
      <c r="C5" s="12" t="s">
        <v>71</v>
      </c>
      <c r="D5" s="12" t="s">
        <v>86</v>
      </c>
      <c r="E5" s="12">
        <v>4</v>
      </c>
      <c r="F5" s="13" t="s">
        <v>7</v>
      </c>
      <c r="G5" s="9" t="s">
        <v>10</v>
      </c>
    </row>
    <row r="6" spans="1:7" x14ac:dyDescent="0.25">
      <c r="A6" s="14">
        <v>3</v>
      </c>
      <c r="B6" s="13" t="s">
        <v>56</v>
      </c>
      <c r="C6" s="12" t="s">
        <v>72</v>
      </c>
      <c r="D6" s="12" t="s">
        <v>87</v>
      </c>
      <c r="E6" s="12">
        <v>8</v>
      </c>
      <c r="F6" s="13" t="s">
        <v>7</v>
      </c>
      <c r="G6" s="9" t="s">
        <v>10</v>
      </c>
    </row>
    <row r="7" spans="1:7" x14ac:dyDescent="0.25">
      <c r="A7" s="14">
        <v>4</v>
      </c>
      <c r="B7" s="13" t="s">
        <v>57</v>
      </c>
      <c r="C7" s="12" t="s">
        <v>73</v>
      </c>
      <c r="D7" s="12" t="s">
        <v>88</v>
      </c>
      <c r="E7" s="12">
        <v>9</v>
      </c>
      <c r="F7" s="13" t="s">
        <v>7</v>
      </c>
      <c r="G7" s="9" t="s">
        <v>10</v>
      </c>
    </row>
    <row r="8" spans="1:7" x14ac:dyDescent="0.25">
      <c r="A8" s="14">
        <v>5</v>
      </c>
      <c r="B8" s="13" t="s">
        <v>58</v>
      </c>
      <c r="C8" s="12" t="s">
        <v>74</v>
      </c>
      <c r="D8" s="12" t="s">
        <v>89</v>
      </c>
      <c r="E8" s="12">
        <v>10</v>
      </c>
      <c r="F8" s="13" t="s">
        <v>7</v>
      </c>
      <c r="G8" s="9" t="s">
        <v>10</v>
      </c>
    </row>
    <row r="9" spans="1:7" x14ac:dyDescent="0.25">
      <c r="A9" s="14">
        <v>6</v>
      </c>
      <c r="B9" s="13" t="s">
        <v>59</v>
      </c>
      <c r="C9" s="12" t="s">
        <v>75</v>
      </c>
      <c r="D9" s="12" t="s">
        <v>90</v>
      </c>
      <c r="E9" s="12">
        <v>11</v>
      </c>
      <c r="F9" s="13" t="s">
        <v>7</v>
      </c>
      <c r="G9" s="9" t="s">
        <v>10</v>
      </c>
    </row>
    <row r="10" spans="1:7" x14ac:dyDescent="0.25">
      <c r="A10" s="14">
        <v>7</v>
      </c>
      <c r="B10" s="13" t="s">
        <v>60</v>
      </c>
      <c r="C10" s="12" t="s">
        <v>76</v>
      </c>
      <c r="D10" s="12" t="s">
        <v>91</v>
      </c>
      <c r="E10" s="12">
        <v>12</v>
      </c>
      <c r="F10" s="13" t="s">
        <v>7</v>
      </c>
      <c r="G10" s="9" t="s">
        <v>10</v>
      </c>
    </row>
    <row r="11" spans="1:7" x14ac:dyDescent="0.25">
      <c r="A11" s="14">
        <v>8</v>
      </c>
      <c r="B11" s="13" t="s">
        <v>61</v>
      </c>
      <c r="C11" s="22" t="s">
        <v>77</v>
      </c>
      <c r="D11" s="12" t="s">
        <v>92</v>
      </c>
      <c r="E11" s="12">
        <v>13</v>
      </c>
      <c r="F11" s="13" t="s">
        <v>68</v>
      </c>
      <c r="G11" s="9" t="s">
        <v>10</v>
      </c>
    </row>
    <row r="12" spans="1:7" x14ac:dyDescent="0.25">
      <c r="A12" s="14">
        <v>9</v>
      </c>
      <c r="B12" s="13" t="s">
        <v>62</v>
      </c>
      <c r="C12" s="12" t="s">
        <v>78</v>
      </c>
      <c r="D12" s="12" t="s">
        <v>93</v>
      </c>
      <c r="E12" s="12">
        <v>0</v>
      </c>
      <c r="F12" s="13" t="s">
        <v>7</v>
      </c>
      <c r="G12" s="9" t="s">
        <v>11</v>
      </c>
    </row>
    <row r="13" spans="1:7" x14ac:dyDescent="0.25">
      <c r="A13" s="14">
        <v>10</v>
      </c>
      <c r="B13" s="13" t="s">
        <v>63</v>
      </c>
      <c r="C13" s="12" t="s">
        <v>79</v>
      </c>
      <c r="D13" s="12" t="s">
        <v>94</v>
      </c>
      <c r="E13" s="12">
        <v>1</v>
      </c>
      <c r="F13" s="13" t="s">
        <v>7</v>
      </c>
      <c r="G13" s="9" t="s">
        <v>10</v>
      </c>
    </row>
    <row r="14" spans="1:7" x14ac:dyDescent="0.25">
      <c r="A14" s="14">
        <v>11</v>
      </c>
      <c r="B14" s="13" t="s">
        <v>64</v>
      </c>
      <c r="C14" s="12" t="s">
        <v>80</v>
      </c>
      <c r="D14" s="12" t="s">
        <v>95</v>
      </c>
      <c r="E14" s="12">
        <v>5</v>
      </c>
      <c r="F14" s="13" t="s">
        <v>7</v>
      </c>
      <c r="G14" s="9" t="s">
        <v>10</v>
      </c>
    </row>
    <row r="15" spans="1:7" x14ac:dyDescent="0.25">
      <c r="A15" s="14">
        <v>12</v>
      </c>
      <c r="B15" s="13" t="s">
        <v>65</v>
      </c>
      <c r="C15" s="12" t="s">
        <v>81</v>
      </c>
      <c r="D15" s="12" t="s">
        <v>96</v>
      </c>
      <c r="E15" s="12">
        <v>6</v>
      </c>
      <c r="F15" s="13" t="s">
        <v>7</v>
      </c>
      <c r="G15" s="9" t="s">
        <v>10</v>
      </c>
    </row>
    <row r="16" spans="1:7" x14ac:dyDescent="0.25">
      <c r="A16" s="14">
        <v>13</v>
      </c>
      <c r="B16" s="13" t="s">
        <v>66</v>
      </c>
      <c r="C16" s="12" t="s">
        <v>82</v>
      </c>
      <c r="D16" s="12" t="s">
        <v>97</v>
      </c>
      <c r="E16" s="12">
        <v>7</v>
      </c>
      <c r="F16" s="13" t="s">
        <v>7</v>
      </c>
      <c r="G16" s="9" t="s">
        <v>10</v>
      </c>
    </row>
    <row r="17" spans="1:7" ht="15.75" thickBot="1" x14ac:dyDescent="0.3">
      <c r="A17" s="15">
        <v>14</v>
      </c>
      <c r="B17" s="16" t="s">
        <v>67</v>
      </c>
      <c r="C17" s="23" t="s">
        <v>83</v>
      </c>
      <c r="D17" s="12" t="s">
        <v>98</v>
      </c>
      <c r="E17" s="17">
        <v>14</v>
      </c>
      <c r="F17" s="16" t="s">
        <v>68</v>
      </c>
      <c r="G17" s="11" t="s">
        <v>10</v>
      </c>
    </row>
    <row r="21" spans="1:7" x14ac:dyDescent="0.25">
      <c r="A21" s="5" t="s">
        <v>29</v>
      </c>
      <c r="B21" s="5" t="s">
        <v>33</v>
      </c>
      <c r="C21" s="5" t="s">
        <v>30</v>
      </c>
      <c r="D21" s="5" t="s">
        <v>31</v>
      </c>
      <c r="E21" s="5" t="s">
        <v>32</v>
      </c>
    </row>
    <row r="22" spans="1:7" x14ac:dyDescent="0.25">
      <c r="A22" s="5">
        <v>0</v>
      </c>
      <c r="B22" s="24" t="s">
        <v>58</v>
      </c>
      <c r="C22" s="5" t="s">
        <v>36</v>
      </c>
      <c r="D22" s="5" t="s">
        <v>38</v>
      </c>
      <c r="E22" s="5" t="s">
        <v>34</v>
      </c>
    </row>
    <row r="23" spans="1:7" x14ac:dyDescent="0.25">
      <c r="A23" s="5">
        <v>1</v>
      </c>
      <c r="B23" s="24" t="s">
        <v>57</v>
      </c>
      <c r="C23" s="5" t="s">
        <v>36</v>
      </c>
      <c r="D23" s="5" t="s">
        <v>39</v>
      </c>
      <c r="E23" s="5" t="s">
        <v>34</v>
      </c>
    </row>
    <row r="24" spans="1:7" x14ac:dyDescent="0.25">
      <c r="A24" s="5">
        <v>2</v>
      </c>
      <c r="B24" s="24" t="s">
        <v>53</v>
      </c>
      <c r="C24" s="5" t="s">
        <v>36</v>
      </c>
      <c r="D24" s="5" t="s">
        <v>40</v>
      </c>
      <c r="E24" s="5" t="s">
        <v>34</v>
      </c>
    </row>
    <row r="25" spans="1:7" x14ac:dyDescent="0.25">
      <c r="A25" s="5">
        <v>3</v>
      </c>
      <c r="B25" s="24" t="s">
        <v>53</v>
      </c>
      <c r="C25" s="5" t="s">
        <v>36</v>
      </c>
      <c r="D25" s="5" t="s">
        <v>41</v>
      </c>
      <c r="E25" s="5" t="s">
        <v>34</v>
      </c>
    </row>
    <row r="26" spans="1:7" x14ac:dyDescent="0.25">
      <c r="A26" s="5">
        <v>4</v>
      </c>
      <c r="B26" s="24" t="s">
        <v>54</v>
      </c>
      <c r="C26" s="5" t="s">
        <v>36</v>
      </c>
      <c r="D26" s="5" t="s">
        <v>42</v>
      </c>
      <c r="E26" s="5" t="s">
        <v>34</v>
      </c>
    </row>
    <row r="27" spans="1:7" x14ac:dyDescent="0.25">
      <c r="A27" s="5">
        <v>5</v>
      </c>
      <c r="B27" s="24" t="s">
        <v>58</v>
      </c>
      <c r="C27" s="5" t="s">
        <v>36</v>
      </c>
      <c r="D27" s="5" t="s">
        <v>43</v>
      </c>
      <c r="E27" s="5" t="s">
        <v>34</v>
      </c>
    </row>
    <row r="28" spans="1:7" x14ac:dyDescent="0.25">
      <c r="A28" s="5">
        <v>6</v>
      </c>
      <c r="B28" s="24" t="s">
        <v>67</v>
      </c>
      <c r="C28" s="5" t="s">
        <v>37</v>
      </c>
      <c r="D28" s="5">
        <v>0</v>
      </c>
      <c r="E28" s="5" t="s">
        <v>34</v>
      </c>
    </row>
    <row r="29" spans="1:7" x14ac:dyDescent="0.25">
      <c r="A29" s="5">
        <v>7</v>
      </c>
      <c r="B29" s="24" t="s">
        <v>59</v>
      </c>
      <c r="C29" s="5" t="s">
        <v>36</v>
      </c>
      <c r="D29" s="5" t="s">
        <v>44</v>
      </c>
      <c r="E29" s="5" t="s">
        <v>34</v>
      </c>
    </row>
    <row r="30" spans="1:7" x14ac:dyDescent="0.25">
      <c r="A30" s="5">
        <v>8</v>
      </c>
      <c r="B30" s="24" t="s">
        <v>57</v>
      </c>
      <c r="C30" s="5" t="s">
        <v>36</v>
      </c>
      <c r="D30" s="5" t="s">
        <v>45</v>
      </c>
      <c r="E30" s="5" t="s">
        <v>34</v>
      </c>
    </row>
    <row r="31" spans="1:7" x14ac:dyDescent="0.25">
      <c r="A31" s="5">
        <v>9</v>
      </c>
      <c r="B31" s="24" t="s">
        <v>57</v>
      </c>
      <c r="C31" s="5" t="s">
        <v>36</v>
      </c>
      <c r="D31" s="5" t="s">
        <v>46</v>
      </c>
      <c r="E31" s="5" t="s">
        <v>34</v>
      </c>
    </row>
    <row r="32" spans="1:7" x14ac:dyDescent="0.25">
      <c r="A32" s="5">
        <v>10</v>
      </c>
      <c r="B32" s="24" t="s">
        <v>53</v>
      </c>
      <c r="C32" s="5" t="s">
        <v>36</v>
      </c>
      <c r="D32" s="5" t="s">
        <v>47</v>
      </c>
      <c r="E32" s="5" t="s">
        <v>34</v>
      </c>
    </row>
    <row r="33" spans="1:5" x14ac:dyDescent="0.25">
      <c r="A33" s="5">
        <v>11</v>
      </c>
      <c r="B33" s="24" t="s">
        <v>54</v>
      </c>
      <c r="C33" s="5" t="s">
        <v>36</v>
      </c>
      <c r="D33" s="5" t="s">
        <v>48</v>
      </c>
      <c r="E33" s="5" t="s">
        <v>34</v>
      </c>
    </row>
    <row r="34" spans="1:5" x14ac:dyDescent="0.25">
      <c r="A34" s="5">
        <v>12</v>
      </c>
      <c r="B34" s="24" t="s">
        <v>55</v>
      </c>
      <c r="C34" s="5" t="s">
        <v>36</v>
      </c>
      <c r="D34" s="5" t="s">
        <v>49</v>
      </c>
      <c r="E34" s="5" t="s">
        <v>34</v>
      </c>
    </row>
    <row r="35" spans="1:5" x14ac:dyDescent="0.25">
      <c r="A35" s="5">
        <v>13</v>
      </c>
      <c r="B35" s="24" t="s">
        <v>64</v>
      </c>
      <c r="C35" s="5" t="s">
        <v>37</v>
      </c>
      <c r="D35" s="5">
        <v>0</v>
      </c>
      <c r="E35" s="5" t="s">
        <v>34</v>
      </c>
    </row>
    <row r="36" spans="1:5" x14ac:dyDescent="0.25">
      <c r="A36" s="5">
        <v>14</v>
      </c>
      <c r="B36" s="24" t="s">
        <v>66</v>
      </c>
      <c r="C36" s="5" t="s">
        <v>37</v>
      </c>
      <c r="D36" s="5">
        <v>0</v>
      </c>
      <c r="E36" s="5" t="s">
        <v>34</v>
      </c>
    </row>
    <row r="37" spans="1:5" x14ac:dyDescent="0.25">
      <c r="A37" s="5">
        <v>15</v>
      </c>
      <c r="B37" s="24" t="s">
        <v>65</v>
      </c>
      <c r="C37" s="5" t="s">
        <v>37</v>
      </c>
      <c r="D37" s="5">
        <v>0</v>
      </c>
      <c r="E37" s="5" t="s">
        <v>34</v>
      </c>
    </row>
    <row r="38" spans="1:5" x14ac:dyDescent="0.25">
      <c r="A38" s="5">
        <v>16</v>
      </c>
      <c r="B38" s="24" t="s">
        <v>56</v>
      </c>
      <c r="C38" s="5" t="s">
        <v>36</v>
      </c>
      <c r="D38" s="5" t="s">
        <v>107</v>
      </c>
      <c r="E38" s="5" t="s">
        <v>34</v>
      </c>
    </row>
    <row r="39" spans="1:5" x14ac:dyDescent="0.25">
      <c r="A39" s="5">
        <v>17</v>
      </c>
      <c r="B39" s="24" t="s">
        <v>56</v>
      </c>
      <c r="C39" s="5" t="s">
        <v>36</v>
      </c>
      <c r="D39" s="5" t="s">
        <v>50</v>
      </c>
      <c r="E39" s="5" t="s">
        <v>34</v>
      </c>
    </row>
    <row r="40" spans="1:5" x14ac:dyDescent="0.25">
      <c r="A40" s="5">
        <v>18</v>
      </c>
      <c r="B40" s="24" t="s">
        <v>61</v>
      </c>
      <c r="C40" s="5" t="s">
        <v>36</v>
      </c>
      <c r="D40" s="5" t="s">
        <v>51</v>
      </c>
      <c r="E40" s="5" t="s">
        <v>34</v>
      </c>
    </row>
    <row r="41" spans="1:5" x14ac:dyDescent="0.25">
      <c r="A41" s="5">
        <v>19</v>
      </c>
      <c r="B41" s="24" t="s">
        <v>63</v>
      </c>
      <c r="C41" s="5" t="s">
        <v>37</v>
      </c>
      <c r="D41" s="5">
        <v>0</v>
      </c>
      <c r="E41" s="5" t="s">
        <v>34</v>
      </c>
    </row>
    <row r="42" spans="1:5" x14ac:dyDescent="0.25">
      <c r="A42" s="5">
        <v>20</v>
      </c>
      <c r="B42" s="24" t="s">
        <v>59</v>
      </c>
      <c r="C42" s="5" t="s">
        <v>36</v>
      </c>
      <c r="D42" s="5" t="s">
        <v>52</v>
      </c>
      <c r="E42" s="5" t="s">
        <v>34</v>
      </c>
    </row>
  </sheetData>
  <conditionalFormatting sqref="G3:G17">
    <cfRule type="cellIs" dxfId="0" priority="1" operator="equal">
      <formula>"Yes"</formula>
    </cfRule>
  </conditionalFormatting>
  <dataValidations count="4">
    <dataValidation type="list" allowBlank="1" showInputMessage="1" showErrorMessage="1" sqref="G3:G17" xr:uid="{00000000-0002-0000-1600-000000000000}">
      <formula1>"Yes,No"</formula1>
    </dataValidation>
    <dataValidation type="decimal" operator="lessThan" allowBlank="1" showInputMessage="1" showErrorMessage="1" sqref="E3:E17" xr:uid="{00000000-0002-0000-1600-000001000000}">
      <formula1>16</formula1>
    </dataValidation>
    <dataValidation type="list" allowBlank="1" showInputMessage="1" showErrorMessage="1" sqref="F3:F17" xr:uid="{00000000-0002-0000-1600-000002000000}">
      <formula1>"Preemptive,Non-Preemptive"</formula1>
    </dataValidation>
    <dataValidation type="list" allowBlank="1" showInputMessage="1" showErrorMessage="1" sqref="C22:C42" xr:uid="{00000000-0002-0000-1600-000003000000}">
      <formula1>"ALARM_SET_EVENT_ACTION,ALARM_ACTIVATE_TASK_ACTION"</formula1>
    </dataValidation>
  </dataValidations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1600-000004000000}">
          <x14:formula1>
            <xm:f>Task!$B$14:$B$15</xm:f>
          </x14:formula1>
          <xm:sqref>B22:B42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8"/>
  <dimension ref="A1:C553"/>
  <sheetViews>
    <sheetView workbookViewId="0">
      <selection activeCell="C2" sqref="C2"/>
    </sheetView>
  </sheetViews>
  <sheetFormatPr defaultRowHeight="15" x14ac:dyDescent="0.25"/>
  <cols>
    <col min="2" max="2" width="49.5703125" bestFit="1" customWidth="1"/>
    <col min="3" max="3" width="35.28515625" bestFit="1" customWidth="1"/>
  </cols>
  <sheetData>
    <row r="1" spans="1:3" x14ac:dyDescent="0.25">
      <c r="A1">
        <v>0</v>
      </c>
      <c r="B1" t="s">
        <v>660</v>
      </c>
      <c r="C1" t="s">
        <v>2065</v>
      </c>
    </row>
    <row r="2" spans="1:3" x14ac:dyDescent="0.25">
      <c r="A2">
        <v>1</v>
      </c>
      <c r="B2" t="s">
        <v>661</v>
      </c>
      <c r="C2" t="s">
        <v>662</v>
      </c>
    </row>
    <row r="3" spans="1:3" x14ac:dyDescent="0.25">
      <c r="A3">
        <v>2</v>
      </c>
      <c r="B3" t="s">
        <v>663</v>
      </c>
      <c r="C3" t="s">
        <v>664</v>
      </c>
    </row>
    <row r="4" spans="1:3" x14ac:dyDescent="0.25">
      <c r="A4">
        <v>3</v>
      </c>
      <c r="B4" t="s">
        <v>665</v>
      </c>
      <c r="C4" t="s">
        <v>666</v>
      </c>
    </row>
    <row r="5" spans="1:3" x14ac:dyDescent="0.25">
      <c r="A5">
        <v>4</v>
      </c>
      <c r="B5" t="s">
        <v>667</v>
      </c>
      <c r="C5" t="s">
        <v>668</v>
      </c>
    </row>
    <row r="6" spans="1:3" x14ac:dyDescent="0.25">
      <c r="A6">
        <v>5</v>
      </c>
      <c r="B6" t="s">
        <v>669</v>
      </c>
      <c r="C6" t="s">
        <v>670</v>
      </c>
    </row>
    <row r="7" spans="1:3" x14ac:dyDescent="0.25">
      <c r="A7">
        <v>6</v>
      </c>
      <c r="B7" t="s">
        <v>671</v>
      </c>
      <c r="C7" t="s">
        <v>672</v>
      </c>
    </row>
    <row r="8" spans="1:3" x14ac:dyDescent="0.25">
      <c r="A8">
        <v>7</v>
      </c>
      <c r="B8" t="s">
        <v>143</v>
      </c>
      <c r="C8" t="s">
        <v>151</v>
      </c>
    </row>
    <row r="9" spans="1:3" x14ac:dyDescent="0.25">
      <c r="A9">
        <v>8</v>
      </c>
      <c r="B9" t="s">
        <v>143</v>
      </c>
      <c r="C9" t="s">
        <v>152</v>
      </c>
    </row>
    <row r="10" spans="1:3" x14ac:dyDescent="0.25">
      <c r="A10">
        <v>9</v>
      </c>
      <c r="B10" t="s">
        <v>143</v>
      </c>
      <c r="C10" t="s">
        <v>153</v>
      </c>
    </row>
    <row r="11" spans="1:3" x14ac:dyDescent="0.25">
      <c r="A11">
        <v>10</v>
      </c>
      <c r="B11" t="s">
        <v>143</v>
      </c>
      <c r="C11" t="s">
        <v>154</v>
      </c>
    </row>
    <row r="12" spans="1:3" x14ac:dyDescent="0.25">
      <c r="A12">
        <v>11</v>
      </c>
      <c r="B12" t="s">
        <v>673</v>
      </c>
      <c r="C12" t="s">
        <v>674</v>
      </c>
    </row>
    <row r="13" spans="1:3" x14ac:dyDescent="0.25">
      <c r="A13">
        <v>12</v>
      </c>
      <c r="B13" t="s">
        <v>675</v>
      </c>
      <c r="C13" t="s">
        <v>676</v>
      </c>
    </row>
    <row r="14" spans="1:3" x14ac:dyDescent="0.25">
      <c r="A14">
        <v>13</v>
      </c>
      <c r="B14" t="s">
        <v>143</v>
      </c>
      <c r="C14" t="s">
        <v>157</v>
      </c>
    </row>
    <row r="15" spans="1:3" x14ac:dyDescent="0.25">
      <c r="A15">
        <v>14</v>
      </c>
      <c r="B15" t="s">
        <v>677</v>
      </c>
      <c r="C15" t="s">
        <v>158</v>
      </c>
    </row>
    <row r="16" spans="1:3" x14ac:dyDescent="0.25">
      <c r="A16">
        <v>15</v>
      </c>
      <c r="B16" t="s">
        <v>893</v>
      </c>
      <c r="C16" t="s">
        <v>894</v>
      </c>
    </row>
    <row r="17" spans="1:3" x14ac:dyDescent="0.25">
      <c r="A17">
        <v>16</v>
      </c>
      <c r="B17" t="s">
        <v>143</v>
      </c>
      <c r="C17" t="s">
        <v>159</v>
      </c>
    </row>
    <row r="18" spans="1:3" x14ac:dyDescent="0.25">
      <c r="A18">
        <v>17</v>
      </c>
      <c r="B18" t="s">
        <v>143</v>
      </c>
      <c r="C18" t="s">
        <v>160</v>
      </c>
    </row>
    <row r="19" spans="1:3" x14ac:dyDescent="0.25">
      <c r="A19">
        <v>18</v>
      </c>
      <c r="B19" t="s">
        <v>143</v>
      </c>
      <c r="C19" t="s">
        <v>161</v>
      </c>
    </row>
    <row r="20" spans="1:3" x14ac:dyDescent="0.25">
      <c r="A20">
        <v>19</v>
      </c>
      <c r="B20" t="s">
        <v>143</v>
      </c>
      <c r="C20" t="s">
        <v>162</v>
      </c>
    </row>
    <row r="21" spans="1:3" x14ac:dyDescent="0.25">
      <c r="A21">
        <v>20</v>
      </c>
      <c r="B21" t="s">
        <v>143</v>
      </c>
      <c r="C21" t="s">
        <v>163</v>
      </c>
    </row>
    <row r="22" spans="1:3" x14ac:dyDescent="0.25">
      <c r="A22">
        <v>21</v>
      </c>
      <c r="B22" t="s">
        <v>143</v>
      </c>
      <c r="C22" t="s">
        <v>164</v>
      </c>
    </row>
    <row r="23" spans="1:3" x14ac:dyDescent="0.25">
      <c r="A23">
        <v>22</v>
      </c>
      <c r="B23" t="s">
        <v>143</v>
      </c>
      <c r="C23" t="s">
        <v>2099</v>
      </c>
    </row>
    <row r="24" spans="1:3" x14ac:dyDescent="0.25">
      <c r="A24">
        <v>23</v>
      </c>
      <c r="B24" t="s">
        <v>143</v>
      </c>
      <c r="C24" t="s">
        <v>166</v>
      </c>
    </row>
    <row r="25" spans="1:3" x14ac:dyDescent="0.25">
      <c r="A25">
        <v>24</v>
      </c>
      <c r="B25" t="s">
        <v>143</v>
      </c>
      <c r="C25" t="s">
        <v>167</v>
      </c>
    </row>
    <row r="26" spans="1:3" x14ac:dyDescent="0.25">
      <c r="A26">
        <v>25</v>
      </c>
      <c r="B26" t="s">
        <v>143</v>
      </c>
      <c r="C26" t="s">
        <v>168</v>
      </c>
    </row>
    <row r="27" spans="1:3" x14ac:dyDescent="0.25">
      <c r="A27">
        <v>26</v>
      </c>
      <c r="B27" t="s">
        <v>143</v>
      </c>
      <c r="C27" t="s">
        <v>169</v>
      </c>
    </row>
    <row r="28" spans="1:3" x14ac:dyDescent="0.25">
      <c r="A28">
        <v>27</v>
      </c>
      <c r="B28" t="s">
        <v>143</v>
      </c>
      <c r="C28" t="s">
        <v>170</v>
      </c>
    </row>
    <row r="29" spans="1:3" x14ac:dyDescent="0.25">
      <c r="A29">
        <v>28</v>
      </c>
      <c r="B29" t="s">
        <v>143</v>
      </c>
      <c r="C29" t="s">
        <v>171</v>
      </c>
    </row>
    <row r="30" spans="1:3" x14ac:dyDescent="0.25">
      <c r="A30">
        <v>29</v>
      </c>
      <c r="B30" t="s">
        <v>143</v>
      </c>
      <c r="C30" t="s">
        <v>172</v>
      </c>
    </row>
    <row r="31" spans="1:3" x14ac:dyDescent="0.25">
      <c r="A31">
        <v>30</v>
      </c>
      <c r="B31" t="s">
        <v>143</v>
      </c>
      <c r="C31" t="s">
        <v>173</v>
      </c>
    </row>
    <row r="32" spans="1:3" x14ac:dyDescent="0.25">
      <c r="A32">
        <v>31</v>
      </c>
      <c r="B32" t="s">
        <v>143</v>
      </c>
      <c r="C32" t="s">
        <v>174</v>
      </c>
    </row>
    <row r="33" spans="1:3" x14ac:dyDescent="0.25">
      <c r="A33">
        <v>32</v>
      </c>
      <c r="B33" t="s">
        <v>143</v>
      </c>
      <c r="C33" t="s">
        <v>175</v>
      </c>
    </row>
    <row r="34" spans="1:3" x14ac:dyDescent="0.25">
      <c r="A34">
        <v>33</v>
      </c>
      <c r="B34" t="s">
        <v>143</v>
      </c>
      <c r="C34" t="s">
        <v>176</v>
      </c>
    </row>
    <row r="35" spans="1:3" x14ac:dyDescent="0.25">
      <c r="A35">
        <v>34</v>
      </c>
      <c r="B35" t="s">
        <v>143</v>
      </c>
      <c r="C35" t="s">
        <v>177</v>
      </c>
    </row>
    <row r="36" spans="1:3" x14ac:dyDescent="0.25">
      <c r="A36">
        <v>35</v>
      </c>
      <c r="B36" t="s">
        <v>143</v>
      </c>
      <c r="C36" t="s">
        <v>178</v>
      </c>
    </row>
    <row r="37" spans="1:3" x14ac:dyDescent="0.25">
      <c r="A37">
        <v>36</v>
      </c>
      <c r="B37" t="s">
        <v>143</v>
      </c>
      <c r="C37" t="s">
        <v>179</v>
      </c>
    </row>
    <row r="38" spans="1:3" x14ac:dyDescent="0.25">
      <c r="A38">
        <v>37</v>
      </c>
      <c r="B38" t="s">
        <v>143</v>
      </c>
      <c r="C38" t="s">
        <v>180</v>
      </c>
    </row>
    <row r="39" spans="1:3" x14ac:dyDescent="0.25">
      <c r="A39">
        <v>38</v>
      </c>
      <c r="B39" t="s">
        <v>2098</v>
      </c>
      <c r="C39" t="s">
        <v>181</v>
      </c>
    </row>
    <row r="40" spans="1:3" x14ac:dyDescent="0.25">
      <c r="A40">
        <v>39</v>
      </c>
      <c r="B40" t="s">
        <v>143</v>
      </c>
      <c r="C40" t="s">
        <v>182</v>
      </c>
    </row>
    <row r="41" spans="1:3" x14ac:dyDescent="0.25">
      <c r="A41">
        <v>40</v>
      </c>
      <c r="B41" t="s">
        <v>143</v>
      </c>
      <c r="C41" t="s">
        <v>183</v>
      </c>
    </row>
    <row r="42" spans="1:3" x14ac:dyDescent="0.25">
      <c r="A42">
        <v>41</v>
      </c>
      <c r="B42" t="s">
        <v>143</v>
      </c>
      <c r="C42" t="s">
        <v>184</v>
      </c>
    </row>
    <row r="43" spans="1:3" x14ac:dyDescent="0.25">
      <c r="A43">
        <v>42</v>
      </c>
      <c r="B43" t="s">
        <v>143</v>
      </c>
      <c r="C43" t="s">
        <v>185</v>
      </c>
    </row>
    <row r="44" spans="1:3" x14ac:dyDescent="0.25">
      <c r="A44">
        <v>43</v>
      </c>
      <c r="B44" t="s">
        <v>143</v>
      </c>
      <c r="C44" t="s">
        <v>186</v>
      </c>
    </row>
    <row r="45" spans="1:3" x14ac:dyDescent="0.25">
      <c r="A45">
        <v>44</v>
      </c>
      <c r="B45" t="s">
        <v>143</v>
      </c>
      <c r="C45" t="s">
        <v>187</v>
      </c>
    </row>
    <row r="46" spans="1:3" x14ac:dyDescent="0.25">
      <c r="A46">
        <v>45</v>
      </c>
      <c r="B46" t="s">
        <v>143</v>
      </c>
      <c r="C46" t="s">
        <v>188</v>
      </c>
    </row>
    <row r="47" spans="1:3" x14ac:dyDescent="0.25">
      <c r="A47">
        <v>46</v>
      </c>
      <c r="B47" t="s">
        <v>143</v>
      </c>
      <c r="C47" t="s">
        <v>189</v>
      </c>
    </row>
    <row r="48" spans="1:3" x14ac:dyDescent="0.25">
      <c r="A48">
        <v>47</v>
      </c>
      <c r="B48" t="s">
        <v>143</v>
      </c>
      <c r="C48" t="s">
        <v>190</v>
      </c>
    </row>
    <row r="49" spans="1:3" x14ac:dyDescent="0.25">
      <c r="A49">
        <v>48</v>
      </c>
      <c r="B49" t="s">
        <v>143</v>
      </c>
      <c r="C49" t="s">
        <v>191</v>
      </c>
    </row>
    <row r="50" spans="1:3" x14ac:dyDescent="0.25">
      <c r="A50">
        <v>49</v>
      </c>
      <c r="B50" t="s">
        <v>2093</v>
      </c>
      <c r="C50" t="s">
        <v>2094</v>
      </c>
    </row>
    <row r="51" spans="1:3" x14ac:dyDescent="0.25">
      <c r="A51">
        <v>50</v>
      </c>
      <c r="B51" t="s">
        <v>2824</v>
      </c>
      <c r="C51" t="s">
        <v>2825</v>
      </c>
    </row>
    <row r="52" spans="1:3" x14ac:dyDescent="0.25">
      <c r="A52">
        <v>51</v>
      </c>
      <c r="B52" t="s">
        <v>2088</v>
      </c>
      <c r="C52" t="s">
        <v>2089</v>
      </c>
    </row>
    <row r="53" spans="1:3" x14ac:dyDescent="0.25">
      <c r="A53">
        <v>52</v>
      </c>
      <c r="B53" t="s">
        <v>2091</v>
      </c>
      <c r="C53" t="s">
        <v>2092</v>
      </c>
    </row>
    <row r="54" spans="1:3" x14ac:dyDescent="0.25">
      <c r="A54">
        <v>53</v>
      </c>
      <c r="B54" t="s">
        <v>143</v>
      </c>
      <c r="C54" t="s">
        <v>195</v>
      </c>
    </row>
    <row r="55" spans="1:3" x14ac:dyDescent="0.25">
      <c r="A55">
        <v>54</v>
      </c>
      <c r="B55" t="s">
        <v>2096</v>
      </c>
      <c r="C55" t="s">
        <v>2097</v>
      </c>
    </row>
    <row r="56" spans="1:3" x14ac:dyDescent="0.25">
      <c r="A56">
        <v>55</v>
      </c>
      <c r="B56" t="s">
        <v>143</v>
      </c>
      <c r="C56" t="s">
        <v>197</v>
      </c>
    </row>
    <row r="57" spans="1:3" x14ac:dyDescent="0.25">
      <c r="A57">
        <v>56</v>
      </c>
      <c r="B57" t="s">
        <v>143</v>
      </c>
      <c r="C57" t="s">
        <v>198</v>
      </c>
    </row>
    <row r="58" spans="1:3" x14ac:dyDescent="0.25">
      <c r="A58">
        <v>57</v>
      </c>
      <c r="B58" t="s">
        <v>143</v>
      </c>
      <c r="C58" t="s">
        <v>199</v>
      </c>
    </row>
    <row r="59" spans="1:3" x14ac:dyDescent="0.25">
      <c r="A59">
        <v>58</v>
      </c>
      <c r="B59" t="s">
        <v>143</v>
      </c>
      <c r="C59" t="s">
        <v>200</v>
      </c>
    </row>
    <row r="60" spans="1:3" x14ac:dyDescent="0.25">
      <c r="A60">
        <v>59</v>
      </c>
      <c r="B60" t="s">
        <v>143</v>
      </c>
      <c r="C60" t="s">
        <v>201</v>
      </c>
    </row>
    <row r="61" spans="1:3" x14ac:dyDescent="0.25">
      <c r="A61">
        <v>60</v>
      </c>
      <c r="B61" t="s">
        <v>143</v>
      </c>
      <c r="C61" t="s">
        <v>202</v>
      </c>
    </row>
    <row r="62" spans="1:3" x14ac:dyDescent="0.25">
      <c r="A62">
        <v>61</v>
      </c>
      <c r="B62" t="s">
        <v>143</v>
      </c>
      <c r="C62" t="s">
        <v>203</v>
      </c>
    </row>
    <row r="63" spans="1:3" x14ac:dyDescent="0.25">
      <c r="A63">
        <v>62</v>
      </c>
      <c r="B63" t="s">
        <v>143</v>
      </c>
      <c r="C63" t="s">
        <v>204</v>
      </c>
    </row>
    <row r="64" spans="1:3" x14ac:dyDescent="0.25">
      <c r="A64">
        <v>63</v>
      </c>
      <c r="B64" t="s">
        <v>143</v>
      </c>
      <c r="C64" t="s">
        <v>205</v>
      </c>
    </row>
    <row r="65" spans="1:3" x14ac:dyDescent="0.25">
      <c r="A65">
        <v>64</v>
      </c>
      <c r="B65" t="s">
        <v>143</v>
      </c>
      <c r="C65" t="s">
        <v>206</v>
      </c>
    </row>
    <row r="66" spans="1:3" x14ac:dyDescent="0.25">
      <c r="A66">
        <v>65</v>
      </c>
      <c r="B66" t="s">
        <v>143</v>
      </c>
      <c r="C66" t="s">
        <v>207</v>
      </c>
    </row>
    <row r="67" spans="1:3" x14ac:dyDescent="0.25">
      <c r="A67">
        <v>66</v>
      </c>
      <c r="B67" t="s">
        <v>143</v>
      </c>
      <c r="C67" t="s">
        <v>208</v>
      </c>
    </row>
    <row r="68" spans="1:3" x14ac:dyDescent="0.25">
      <c r="A68">
        <v>67</v>
      </c>
      <c r="B68" t="s">
        <v>143</v>
      </c>
      <c r="C68" t="s">
        <v>209</v>
      </c>
    </row>
    <row r="69" spans="1:3" x14ac:dyDescent="0.25">
      <c r="A69">
        <v>68</v>
      </c>
      <c r="B69" t="s">
        <v>143</v>
      </c>
      <c r="C69" t="s">
        <v>210</v>
      </c>
    </row>
    <row r="70" spans="1:3" x14ac:dyDescent="0.25">
      <c r="A70">
        <v>69</v>
      </c>
      <c r="B70" t="s">
        <v>143</v>
      </c>
      <c r="C70" t="s">
        <v>211</v>
      </c>
    </row>
    <row r="71" spans="1:3" x14ac:dyDescent="0.25">
      <c r="A71">
        <v>70</v>
      </c>
      <c r="B71" t="s">
        <v>143</v>
      </c>
      <c r="C71" t="s">
        <v>212</v>
      </c>
    </row>
    <row r="72" spans="1:3" x14ac:dyDescent="0.25">
      <c r="A72">
        <v>71</v>
      </c>
      <c r="B72" t="s">
        <v>143</v>
      </c>
      <c r="C72" t="s">
        <v>213</v>
      </c>
    </row>
    <row r="73" spans="1:3" x14ac:dyDescent="0.25">
      <c r="A73">
        <v>72</v>
      </c>
      <c r="B73" t="s">
        <v>143</v>
      </c>
      <c r="C73" t="s">
        <v>214</v>
      </c>
    </row>
    <row r="74" spans="1:3" x14ac:dyDescent="0.25">
      <c r="A74">
        <v>73</v>
      </c>
      <c r="B74" t="s">
        <v>143</v>
      </c>
      <c r="C74" t="s">
        <v>215</v>
      </c>
    </row>
    <row r="75" spans="1:3" x14ac:dyDescent="0.25">
      <c r="A75">
        <v>74</v>
      </c>
      <c r="B75" t="s">
        <v>143</v>
      </c>
      <c r="C75" t="s">
        <v>216</v>
      </c>
    </row>
    <row r="76" spans="1:3" x14ac:dyDescent="0.25">
      <c r="A76">
        <v>75</v>
      </c>
      <c r="B76" t="s">
        <v>143</v>
      </c>
      <c r="C76" t="s">
        <v>217</v>
      </c>
    </row>
    <row r="77" spans="1:3" x14ac:dyDescent="0.25">
      <c r="A77">
        <v>76</v>
      </c>
      <c r="B77" t="s">
        <v>143</v>
      </c>
      <c r="C77" t="s">
        <v>678</v>
      </c>
    </row>
    <row r="78" spans="1:3" x14ac:dyDescent="0.25">
      <c r="A78">
        <v>77</v>
      </c>
      <c r="B78" t="s">
        <v>143</v>
      </c>
      <c r="C78" t="s">
        <v>218</v>
      </c>
    </row>
    <row r="79" spans="1:3" x14ac:dyDescent="0.25">
      <c r="A79">
        <v>78</v>
      </c>
      <c r="B79" t="s">
        <v>143</v>
      </c>
      <c r="C79" t="s">
        <v>219</v>
      </c>
    </row>
    <row r="80" spans="1:3" x14ac:dyDescent="0.25">
      <c r="A80">
        <v>79</v>
      </c>
      <c r="B80" t="s">
        <v>143</v>
      </c>
      <c r="C80" t="s">
        <v>220</v>
      </c>
    </row>
    <row r="81" spans="1:3" x14ac:dyDescent="0.25">
      <c r="A81">
        <v>80</v>
      </c>
      <c r="B81" t="s">
        <v>143</v>
      </c>
      <c r="C81" t="s">
        <v>221</v>
      </c>
    </row>
    <row r="82" spans="1:3" x14ac:dyDescent="0.25">
      <c r="A82">
        <v>81</v>
      </c>
      <c r="B82" t="s">
        <v>143</v>
      </c>
      <c r="C82" t="s">
        <v>222</v>
      </c>
    </row>
    <row r="83" spans="1:3" x14ac:dyDescent="0.25">
      <c r="A83">
        <v>82</v>
      </c>
      <c r="B83" t="s">
        <v>143</v>
      </c>
      <c r="C83" t="s">
        <v>223</v>
      </c>
    </row>
    <row r="84" spans="1:3" x14ac:dyDescent="0.25">
      <c r="A84">
        <v>83</v>
      </c>
      <c r="B84" t="s">
        <v>143</v>
      </c>
      <c r="C84" t="s">
        <v>224</v>
      </c>
    </row>
    <row r="85" spans="1:3" x14ac:dyDescent="0.25">
      <c r="A85">
        <v>84</v>
      </c>
      <c r="B85" t="s">
        <v>143</v>
      </c>
      <c r="C85" t="s">
        <v>225</v>
      </c>
    </row>
    <row r="86" spans="1:3" x14ac:dyDescent="0.25">
      <c r="A86">
        <v>85</v>
      </c>
      <c r="B86" t="s">
        <v>143</v>
      </c>
      <c r="C86" t="s">
        <v>226</v>
      </c>
    </row>
    <row r="87" spans="1:3" x14ac:dyDescent="0.25">
      <c r="A87">
        <v>86</v>
      </c>
      <c r="B87" t="s">
        <v>143</v>
      </c>
      <c r="C87" t="s">
        <v>227</v>
      </c>
    </row>
    <row r="88" spans="1:3" x14ac:dyDescent="0.25">
      <c r="A88">
        <v>87</v>
      </c>
      <c r="B88" t="s">
        <v>143</v>
      </c>
      <c r="C88" t="s">
        <v>228</v>
      </c>
    </row>
    <row r="89" spans="1:3" x14ac:dyDescent="0.25">
      <c r="A89">
        <v>88</v>
      </c>
      <c r="B89" t="s">
        <v>143</v>
      </c>
      <c r="C89" t="s">
        <v>229</v>
      </c>
    </row>
    <row r="90" spans="1:3" x14ac:dyDescent="0.25">
      <c r="A90">
        <v>89</v>
      </c>
      <c r="B90" t="s">
        <v>143</v>
      </c>
      <c r="C90" t="s">
        <v>230</v>
      </c>
    </row>
    <row r="91" spans="1:3" x14ac:dyDescent="0.25">
      <c r="A91">
        <v>90</v>
      </c>
      <c r="B91" t="s">
        <v>143</v>
      </c>
      <c r="C91" t="s">
        <v>231</v>
      </c>
    </row>
    <row r="92" spans="1:3" x14ac:dyDescent="0.25">
      <c r="A92">
        <v>91</v>
      </c>
      <c r="B92" t="s">
        <v>2814</v>
      </c>
      <c r="C92" t="s">
        <v>2820</v>
      </c>
    </row>
    <row r="93" spans="1:3" x14ac:dyDescent="0.25">
      <c r="A93">
        <v>92</v>
      </c>
      <c r="B93" t="s">
        <v>143</v>
      </c>
      <c r="C93" t="s">
        <v>233</v>
      </c>
    </row>
    <row r="94" spans="1:3" x14ac:dyDescent="0.25">
      <c r="A94">
        <v>93</v>
      </c>
      <c r="B94" t="s">
        <v>143</v>
      </c>
      <c r="C94" t="s">
        <v>234</v>
      </c>
    </row>
    <row r="95" spans="1:3" x14ac:dyDescent="0.25">
      <c r="A95">
        <v>94</v>
      </c>
      <c r="B95" t="s">
        <v>143</v>
      </c>
      <c r="C95" t="s">
        <v>235</v>
      </c>
    </row>
    <row r="96" spans="1:3" x14ac:dyDescent="0.25">
      <c r="A96">
        <v>95</v>
      </c>
      <c r="B96" t="s">
        <v>143</v>
      </c>
      <c r="C96" t="s">
        <v>236</v>
      </c>
    </row>
    <row r="97" spans="1:3" x14ac:dyDescent="0.25">
      <c r="A97">
        <v>96</v>
      </c>
      <c r="B97" t="s">
        <v>143</v>
      </c>
      <c r="C97" t="s">
        <v>237</v>
      </c>
    </row>
    <row r="98" spans="1:3" x14ac:dyDescent="0.25">
      <c r="A98">
        <v>97</v>
      </c>
      <c r="B98" t="s">
        <v>143</v>
      </c>
      <c r="C98" t="s">
        <v>238</v>
      </c>
    </row>
    <row r="99" spans="1:3" x14ac:dyDescent="0.25">
      <c r="A99">
        <v>98</v>
      </c>
      <c r="B99" t="s">
        <v>143</v>
      </c>
      <c r="C99" t="s">
        <v>239</v>
      </c>
    </row>
    <row r="100" spans="1:3" x14ac:dyDescent="0.25">
      <c r="A100">
        <v>99</v>
      </c>
      <c r="B100" t="s">
        <v>143</v>
      </c>
      <c r="C100" t="s">
        <v>240</v>
      </c>
    </row>
    <row r="101" spans="1:3" x14ac:dyDescent="0.25">
      <c r="A101">
        <v>100</v>
      </c>
      <c r="B101" t="s">
        <v>143</v>
      </c>
      <c r="C101" t="s">
        <v>241</v>
      </c>
    </row>
    <row r="102" spans="1:3" x14ac:dyDescent="0.25">
      <c r="A102">
        <v>101</v>
      </c>
      <c r="B102" t="s">
        <v>143</v>
      </c>
      <c r="C102" t="s">
        <v>242</v>
      </c>
    </row>
    <row r="103" spans="1:3" x14ac:dyDescent="0.25">
      <c r="A103">
        <v>102</v>
      </c>
      <c r="B103" t="s">
        <v>143</v>
      </c>
      <c r="C103" t="s">
        <v>243</v>
      </c>
    </row>
    <row r="104" spans="1:3" x14ac:dyDescent="0.25">
      <c r="A104">
        <v>103</v>
      </c>
      <c r="B104" t="s">
        <v>143</v>
      </c>
      <c r="C104" t="s">
        <v>244</v>
      </c>
    </row>
    <row r="105" spans="1:3" x14ac:dyDescent="0.25">
      <c r="A105">
        <v>104</v>
      </c>
      <c r="B105" t="s">
        <v>143</v>
      </c>
      <c r="C105" t="s">
        <v>245</v>
      </c>
    </row>
    <row r="106" spans="1:3" x14ac:dyDescent="0.25">
      <c r="A106">
        <v>105</v>
      </c>
      <c r="B106" t="s">
        <v>143</v>
      </c>
      <c r="C106" t="s">
        <v>246</v>
      </c>
    </row>
    <row r="107" spans="1:3" x14ac:dyDescent="0.25">
      <c r="A107">
        <v>106</v>
      </c>
      <c r="B107" t="s">
        <v>143</v>
      </c>
      <c r="C107" t="s">
        <v>247</v>
      </c>
    </row>
    <row r="108" spans="1:3" x14ac:dyDescent="0.25">
      <c r="A108">
        <v>107</v>
      </c>
      <c r="B108" t="s">
        <v>143</v>
      </c>
      <c r="C108" t="s">
        <v>248</v>
      </c>
    </row>
    <row r="109" spans="1:3" x14ac:dyDescent="0.25">
      <c r="A109">
        <v>108</v>
      </c>
      <c r="B109" t="s">
        <v>143</v>
      </c>
      <c r="C109" t="s">
        <v>249</v>
      </c>
    </row>
    <row r="110" spans="1:3" x14ac:dyDescent="0.25">
      <c r="A110">
        <v>109</v>
      </c>
      <c r="B110" t="s">
        <v>143</v>
      </c>
      <c r="C110" t="s">
        <v>250</v>
      </c>
    </row>
    <row r="111" spans="1:3" x14ac:dyDescent="0.25">
      <c r="A111">
        <v>110</v>
      </c>
      <c r="B111" t="s">
        <v>143</v>
      </c>
      <c r="C111" t="s">
        <v>251</v>
      </c>
    </row>
    <row r="112" spans="1:3" x14ac:dyDescent="0.25">
      <c r="A112">
        <v>111</v>
      </c>
      <c r="B112" t="s">
        <v>143</v>
      </c>
      <c r="C112" t="s">
        <v>252</v>
      </c>
    </row>
    <row r="113" spans="1:3" x14ac:dyDescent="0.25">
      <c r="A113">
        <v>112</v>
      </c>
      <c r="B113" t="s">
        <v>143</v>
      </c>
      <c r="C113" t="s">
        <v>253</v>
      </c>
    </row>
    <row r="114" spans="1:3" x14ac:dyDescent="0.25">
      <c r="A114">
        <v>113</v>
      </c>
      <c r="B114" t="s">
        <v>143</v>
      </c>
      <c r="C114" t="s">
        <v>1084</v>
      </c>
    </row>
    <row r="115" spans="1:3" x14ac:dyDescent="0.25">
      <c r="A115">
        <v>114</v>
      </c>
      <c r="B115" t="s">
        <v>2812</v>
      </c>
      <c r="C115" t="s">
        <v>2817</v>
      </c>
    </row>
    <row r="116" spans="1:3" x14ac:dyDescent="0.25">
      <c r="A116">
        <v>115</v>
      </c>
      <c r="B116" t="s">
        <v>2085</v>
      </c>
      <c r="C116" t="s">
        <v>2818</v>
      </c>
    </row>
    <row r="117" spans="1:3" x14ac:dyDescent="0.25">
      <c r="A117">
        <v>116</v>
      </c>
      <c r="B117" t="s">
        <v>2826</v>
      </c>
      <c r="C117" t="s">
        <v>2828</v>
      </c>
    </row>
    <row r="118" spans="1:3" x14ac:dyDescent="0.25">
      <c r="A118">
        <v>117</v>
      </c>
      <c r="B118" t="s">
        <v>143</v>
      </c>
      <c r="C118" t="s">
        <v>257</v>
      </c>
    </row>
    <row r="119" spans="1:3" x14ac:dyDescent="0.25">
      <c r="A119">
        <v>118</v>
      </c>
      <c r="B119" t="s">
        <v>143</v>
      </c>
      <c r="C119" t="s">
        <v>258</v>
      </c>
    </row>
    <row r="120" spans="1:3" x14ac:dyDescent="0.25">
      <c r="A120">
        <v>119</v>
      </c>
      <c r="B120" t="s">
        <v>143</v>
      </c>
      <c r="C120" t="s">
        <v>259</v>
      </c>
    </row>
    <row r="121" spans="1:3" x14ac:dyDescent="0.25">
      <c r="A121">
        <v>120</v>
      </c>
      <c r="B121" t="s">
        <v>143</v>
      </c>
      <c r="C121" t="s">
        <v>260</v>
      </c>
    </row>
    <row r="122" spans="1:3" x14ac:dyDescent="0.25">
      <c r="A122">
        <v>121</v>
      </c>
      <c r="B122" t="s">
        <v>143</v>
      </c>
      <c r="C122" t="s">
        <v>261</v>
      </c>
    </row>
    <row r="123" spans="1:3" x14ac:dyDescent="0.25">
      <c r="A123">
        <v>122</v>
      </c>
      <c r="B123" t="s">
        <v>143</v>
      </c>
      <c r="C123" t="s">
        <v>262</v>
      </c>
    </row>
    <row r="124" spans="1:3" x14ac:dyDescent="0.25">
      <c r="A124">
        <v>123</v>
      </c>
      <c r="B124" t="s">
        <v>143</v>
      </c>
      <c r="C124" t="s">
        <v>263</v>
      </c>
    </row>
    <row r="125" spans="1:3" x14ac:dyDescent="0.25">
      <c r="A125">
        <v>124</v>
      </c>
      <c r="B125" t="s">
        <v>143</v>
      </c>
      <c r="C125" t="s">
        <v>264</v>
      </c>
    </row>
    <row r="126" spans="1:3" x14ac:dyDescent="0.25">
      <c r="A126">
        <v>125</v>
      </c>
      <c r="B126" t="s">
        <v>143</v>
      </c>
      <c r="C126" t="s">
        <v>659</v>
      </c>
    </row>
    <row r="127" spans="1:3" x14ac:dyDescent="0.25">
      <c r="A127">
        <v>126</v>
      </c>
      <c r="B127" t="s">
        <v>143</v>
      </c>
      <c r="C127" t="s">
        <v>265</v>
      </c>
    </row>
    <row r="128" spans="1:3" x14ac:dyDescent="0.25">
      <c r="A128">
        <v>127</v>
      </c>
      <c r="B128" t="s">
        <v>143</v>
      </c>
      <c r="C128" t="s">
        <v>266</v>
      </c>
    </row>
    <row r="129" spans="1:3" x14ac:dyDescent="0.25">
      <c r="A129">
        <v>128</v>
      </c>
      <c r="B129" t="s">
        <v>2822</v>
      </c>
      <c r="C129" t="s">
        <v>2823</v>
      </c>
    </row>
    <row r="130" spans="1:3" x14ac:dyDescent="0.25">
      <c r="A130">
        <v>129</v>
      </c>
      <c r="B130" t="s">
        <v>143</v>
      </c>
      <c r="C130" t="s">
        <v>268</v>
      </c>
    </row>
    <row r="131" spans="1:3" x14ac:dyDescent="0.25">
      <c r="A131">
        <v>130</v>
      </c>
      <c r="B131" t="s">
        <v>143</v>
      </c>
      <c r="C131" t="s">
        <v>269</v>
      </c>
    </row>
    <row r="132" spans="1:3" x14ac:dyDescent="0.25">
      <c r="A132">
        <v>131</v>
      </c>
      <c r="B132" t="s">
        <v>143</v>
      </c>
      <c r="C132" t="s">
        <v>270</v>
      </c>
    </row>
    <row r="133" spans="1:3" x14ac:dyDescent="0.25">
      <c r="A133">
        <v>132</v>
      </c>
      <c r="B133" t="s">
        <v>143</v>
      </c>
      <c r="C133" t="s">
        <v>271</v>
      </c>
    </row>
    <row r="134" spans="1:3" x14ac:dyDescent="0.25">
      <c r="A134">
        <v>133</v>
      </c>
      <c r="B134" t="s">
        <v>143</v>
      </c>
      <c r="C134" t="s">
        <v>272</v>
      </c>
    </row>
    <row r="135" spans="1:3" x14ac:dyDescent="0.25">
      <c r="A135">
        <v>134</v>
      </c>
      <c r="B135" t="s">
        <v>143</v>
      </c>
      <c r="C135" t="s">
        <v>273</v>
      </c>
    </row>
    <row r="136" spans="1:3" x14ac:dyDescent="0.25">
      <c r="A136">
        <v>135</v>
      </c>
      <c r="B136" t="s">
        <v>143</v>
      </c>
      <c r="C136" t="s">
        <v>274</v>
      </c>
    </row>
    <row r="137" spans="1:3" x14ac:dyDescent="0.25">
      <c r="A137">
        <v>136</v>
      </c>
      <c r="B137" t="s">
        <v>143</v>
      </c>
      <c r="C137" t="s">
        <v>275</v>
      </c>
    </row>
    <row r="138" spans="1:3" x14ac:dyDescent="0.25">
      <c r="A138">
        <v>137</v>
      </c>
      <c r="B138" t="s">
        <v>143</v>
      </c>
      <c r="C138" t="s">
        <v>276</v>
      </c>
    </row>
    <row r="139" spans="1:3" x14ac:dyDescent="0.25">
      <c r="A139">
        <v>138</v>
      </c>
      <c r="B139" t="s">
        <v>143</v>
      </c>
      <c r="C139" t="s">
        <v>277</v>
      </c>
    </row>
    <row r="140" spans="1:3" x14ac:dyDescent="0.25">
      <c r="A140">
        <v>139</v>
      </c>
      <c r="B140" t="s">
        <v>143</v>
      </c>
      <c r="C140" t="s">
        <v>278</v>
      </c>
    </row>
    <row r="141" spans="1:3" x14ac:dyDescent="0.25">
      <c r="A141">
        <v>140</v>
      </c>
      <c r="B141" t="s">
        <v>143</v>
      </c>
      <c r="C141" t="s">
        <v>279</v>
      </c>
    </row>
    <row r="142" spans="1:3" x14ac:dyDescent="0.25">
      <c r="A142">
        <v>141</v>
      </c>
      <c r="B142" t="s">
        <v>143</v>
      </c>
      <c r="C142" t="s">
        <v>280</v>
      </c>
    </row>
    <row r="143" spans="1:3" x14ac:dyDescent="0.25">
      <c r="A143">
        <v>142</v>
      </c>
      <c r="B143" t="s">
        <v>143</v>
      </c>
      <c r="C143" t="s">
        <v>281</v>
      </c>
    </row>
    <row r="144" spans="1:3" x14ac:dyDescent="0.25">
      <c r="A144">
        <v>143</v>
      </c>
      <c r="B144" t="s">
        <v>143</v>
      </c>
      <c r="C144" t="s">
        <v>282</v>
      </c>
    </row>
    <row r="145" spans="1:3" x14ac:dyDescent="0.25">
      <c r="A145">
        <v>144</v>
      </c>
      <c r="B145" t="s">
        <v>143</v>
      </c>
      <c r="C145" t="s">
        <v>283</v>
      </c>
    </row>
    <row r="146" spans="1:3" x14ac:dyDescent="0.25">
      <c r="A146">
        <v>145</v>
      </c>
      <c r="B146" t="s">
        <v>143</v>
      </c>
      <c r="C146" t="s">
        <v>284</v>
      </c>
    </row>
    <row r="147" spans="1:3" x14ac:dyDescent="0.25">
      <c r="A147">
        <v>146</v>
      </c>
      <c r="B147" t="s">
        <v>143</v>
      </c>
      <c r="C147" t="s">
        <v>285</v>
      </c>
    </row>
    <row r="148" spans="1:3" x14ac:dyDescent="0.25">
      <c r="A148">
        <v>147</v>
      </c>
      <c r="B148" t="s">
        <v>143</v>
      </c>
      <c r="C148" t="s">
        <v>286</v>
      </c>
    </row>
    <row r="149" spans="1:3" x14ac:dyDescent="0.25">
      <c r="A149">
        <v>148</v>
      </c>
      <c r="B149" t="s">
        <v>143</v>
      </c>
      <c r="C149" t="s">
        <v>287</v>
      </c>
    </row>
    <row r="150" spans="1:3" x14ac:dyDescent="0.25">
      <c r="A150">
        <v>149</v>
      </c>
      <c r="B150" t="s">
        <v>143</v>
      </c>
      <c r="C150" t="s">
        <v>288</v>
      </c>
    </row>
    <row r="151" spans="1:3" x14ac:dyDescent="0.25">
      <c r="A151">
        <v>150</v>
      </c>
      <c r="B151" t="s">
        <v>143</v>
      </c>
      <c r="C151" t="s">
        <v>289</v>
      </c>
    </row>
    <row r="152" spans="1:3" x14ac:dyDescent="0.25">
      <c r="A152">
        <v>151</v>
      </c>
      <c r="B152" t="s">
        <v>143</v>
      </c>
      <c r="C152" t="s">
        <v>290</v>
      </c>
    </row>
    <row r="153" spans="1:3" x14ac:dyDescent="0.25">
      <c r="A153">
        <v>152</v>
      </c>
      <c r="B153" t="s">
        <v>143</v>
      </c>
      <c r="C153" t="s">
        <v>291</v>
      </c>
    </row>
    <row r="154" spans="1:3" x14ac:dyDescent="0.25">
      <c r="A154">
        <v>153</v>
      </c>
      <c r="B154" t="s">
        <v>143</v>
      </c>
      <c r="C154" t="s">
        <v>292</v>
      </c>
    </row>
    <row r="155" spans="1:3" x14ac:dyDescent="0.25">
      <c r="A155">
        <v>154</v>
      </c>
      <c r="B155" t="s">
        <v>143</v>
      </c>
      <c r="C155" t="s">
        <v>293</v>
      </c>
    </row>
    <row r="156" spans="1:3" x14ac:dyDescent="0.25">
      <c r="A156">
        <v>155</v>
      </c>
      <c r="B156" t="s">
        <v>143</v>
      </c>
      <c r="C156" t="s">
        <v>294</v>
      </c>
    </row>
    <row r="157" spans="1:3" x14ac:dyDescent="0.25">
      <c r="A157">
        <v>156</v>
      </c>
      <c r="B157" t="s">
        <v>143</v>
      </c>
      <c r="C157" t="s">
        <v>295</v>
      </c>
    </row>
    <row r="158" spans="1:3" x14ac:dyDescent="0.25">
      <c r="A158">
        <v>157</v>
      </c>
      <c r="B158" t="s">
        <v>143</v>
      </c>
      <c r="C158" t="s">
        <v>296</v>
      </c>
    </row>
    <row r="159" spans="1:3" x14ac:dyDescent="0.25">
      <c r="A159">
        <v>158</v>
      </c>
      <c r="B159" t="s">
        <v>143</v>
      </c>
      <c r="C159" t="s">
        <v>297</v>
      </c>
    </row>
    <row r="160" spans="1:3" x14ac:dyDescent="0.25">
      <c r="A160">
        <v>159</v>
      </c>
      <c r="B160" t="s">
        <v>143</v>
      </c>
      <c r="C160" t="s">
        <v>298</v>
      </c>
    </row>
    <row r="161" spans="1:3" x14ac:dyDescent="0.25">
      <c r="A161">
        <v>160</v>
      </c>
      <c r="B161" t="s">
        <v>143</v>
      </c>
      <c r="C161" t="s">
        <v>299</v>
      </c>
    </row>
    <row r="162" spans="1:3" x14ac:dyDescent="0.25">
      <c r="A162">
        <v>161</v>
      </c>
      <c r="B162" t="s">
        <v>143</v>
      </c>
      <c r="C162" t="s">
        <v>300</v>
      </c>
    </row>
    <row r="163" spans="1:3" x14ac:dyDescent="0.25">
      <c r="A163">
        <v>162</v>
      </c>
      <c r="B163" t="s">
        <v>143</v>
      </c>
      <c r="C163" t="s">
        <v>301</v>
      </c>
    </row>
    <row r="164" spans="1:3" x14ac:dyDescent="0.25">
      <c r="A164">
        <v>163</v>
      </c>
      <c r="B164" t="s">
        <v>143</v>
      </c>
      <c r="C164" t="s">
        <v>302</v>
      </c>
    </row>
    <row r="165" spans="1:3" x14ac:dyDescent="0.25">
      <c r="A165">
        <v>164</v>
      </c>
      <c r="B165" t="s">
        <v>143</v>
      </c>
      <c r="C165" t="s">
        <v>303</v>
      </c>
    </row>
    <row r="166" spans="1:3" x14ac:dyDescent="0.25">
      <c r="A166">
        <v>165</v>
      </c>
      <c r="B166" t="s">
        <v>143</v>
      </c>
      <c r="C166" t="s">
        <v>304</v>
      </c>
    </row>
    <row r="167" spans="1:3" x14ac:dyDescent="0.25">
      <c r="A167">
        <v>166</v>
      </c>
      <c r="B167" t="s">
        <v>143</v>
      </c>
      <c r="C167" t="s">
        <v>305</v>
      </c>
    </row>
    <row r="168" spans="1:3" x14ac:dyDescent="0.25">
      <c r="A168">
        <v>167</v>
      </c>
      <c r="B168" t="s">
        <v>143</v>
      </c>
      <c r="C168" t="s">
        <v>306</v>
      </c>
    </row>
    <row r="169" spans="1:3" x14ac:dyDescent="0.25">
      <c r="A169">
        <v>168</v>
      </c>
      <c r="B169" t="s">
        <v>143</v>
      </c>
      <c r="C169" t="s">
        <v>307</v>
      </c>
    </row>
    <row r="170" spans="1:3" x14ac:dyDescent="0.25">
      <c r="A170">
        <v>169</v>
      </c>
      <c r="B170" t="s">
        <v>143</v>
      </c>
      <c r="C170" t="s">
        <v>308</v>
      </c>
    </row>
    <row r="171" spans="1:3" x14ac:dyDescent="0.25">
      <c r="A171">
        <v>170</v>
      </c>
      <c r="B171" t="s">
        <v>143</v>
      </c>
      <c r="C171" t="s">
        <v>309</v>
      </c>
    </row>
    <row r="172" spans="1:3" x14ac:dyDescent="0.25">
      <c r="A172">
        <v>171</v>
      </c>
      <c r="B172" t="s">
        <v>143</v>
      </c>
      <c r="C172" t="s">
        <v>310</v>
      </c>
    </row>
    <row r="173" spans="1:3" x14ac:dyDescent="0.25">
      <c r="A173">
        <v>172</v>
      </c>
      <c r="B173" t="s">
        <v>143</v>
      </c>
      <c r="C173" t="s">
        <v>311</v>
      </c>
    </row>
    <row r="174" spans="1:3" x14ac:dyDescent="0.25">
      <c r="A174">
        <v>173</v>
      </c>
      <c r="B174" t="s">
        <v>143</v>
      </c>
      <c r="C174" t="s">
        <v>312</v>
      </c>
    </row>
    <row r="175" spans="1:3" x14ac:dyDescent="0.25">
      <c r="A175">
        <v>174</v>
      </c>
      <c r="B175" t="s">
        <v>143</v>
      </c>
      <c r="C175" t="s">
        <v>313</v>
      </c>
    </row>
    <row r="176" spans="1:3" x14ac:dyDescent="0.25">
      <c r="A176">
        <v>175</v>
      </c>
      <c r="B176" t="s">
        <v>143</v>
      </c>
      <c r="C176" t="s">
        <v>314</v>
      </c>
    </row>
    <row r="177" spans="1:3" x14ac:dyDescent="0.25">
      <c r="A177">
        <v>176</v>
      </c>
      <c r="B177" t="s">
        <v>143</v>
      </c>
      <c r="C177" t="s">
        <v>315</v>
      </c>
    </row>
    <row r="178" spans="1:3" x14ac:dyDescent="0.25">
      <c r="A178">
        <v>177</v>
      </c>
      <c r="B178" t="s">
        <v>143</v>
      </c>
      <c r="C178" t="s">
        <v>316</v>
      </c>
    </row>
    <row r="179" spans="1:3" x14ac:dyDescent="0.25">
      <c r="A179">
        <v>178</v>
      </c>
      <c r="B179" t="s">
        <v>143</v>
      </c>
      <c r="C179" t="s">
        <v>317</v>
      </c>
    </row>
    <row r="180" spans="1:3" x14ac:dyDescent="0.25">
      <c r="A180">
        <v>179</v>
      </c>
      <c r="B180" t="s">
        <v>143</v>
      </c>
      <c r="C180" t="s">
        <v>318</v>
      </c>
    </row>
    <row r="181" spans="1:3" x14ac:dyDescent="0.25">
      <c r="A181">
        <v>180</v>
      </c>
      <c r="B181" t="s">
        <v>143</v>
      </c>
      <c r="C181" t="s">
        <v>319</v>
      </c>
    </row>
    <row r="182" spans="1:3" x14ac:dyDescent="0.25">
      <c r="A182">
        <v>181</v>
      </c>
      <c r="B182" t="s">
        <v>143</v>
      </c>
      <c r="C182" t="s">
        <v>320</v>
      </c>
    </row>
    <row r="183" spans="1:3" x14ac:dyDescent="0.25">
      <c r="A183">
        <v>182</v>
      </c>
      <c r="B183" t="s">
        <v>143</v>
      </c>
      <c r="C183" t="s">
        <v>321</v>
      </c>
    </row>
    <row r="184" spans="1:3" x14ac:dyDescent="0.25">
      <c r="A184">
        <v>183</v>
      </c>
      <c r="B184" t="s">
        <v>143</v>
      </c>
      <c r="C184" t="s">
        <v>322</v>
      </c>
    </row>
    <row r="185" spans="1:3" x14ac:dyDescent="0.25">
      <c r="A185">
        <v>184</v>
      </c>
      <c r="B185" t="s">
        <v>143</v>
      </c>
      <c r="C185" t="s">
        <v>323</v>
      </c>
    </row>
    <row r="186" spans="1:3" x14ac:dyDescent="0.25">
      <c r="A186">
        <v>185</v>
      </c>
      <c r="B186" t="s">
        <v>143</v>
      </c>
      <c r="C186" t="s">
        <v>324</v>
      </c>
    </row>
    <row r="187" spans="1:3" x14ac:dyDescent="0.25">
      <c r="A187">
        <v>186</v>
      </c>
      <c r="B187" t="s">
        <v>143</v>
      </c>
      <c r="C187" t="s">
        <v>325</v>
      </c>
    </row>
    <row r="188" spans="1:3" x14ac:dyDescent="0.25">
      <c r="A188">
        <v>187</v>
      </c>
      <c r="B188" t="s">
        <v>143</v>
      </c>
      <c r="C188" t="s">
        <v>326</v>
      </c>
    </row>
    <row r="189" spans="1:3" x14ac:dyDescent="0.25">
      <c r="A189">
        <v>188</v>
      </c>
      <c r="B189" t="s">
        <v>143</v>
      </c>
      <c r="C189" t="s">
        <v>327</v>
      </c>
    </row>
    <row r="190" spans="1:3" x14ac:dyDescent="0.25">
      <c r="A190">
        <v>189</v>
      </c>
      <c r="B190" t="s">
        <v>143</v>
      </c>
      <c r="C190" t="s">
        <v>328</v>
      </c>
    </row>
    <row r="191" spans="1:3" x14ac:dyDescent="0.25">
      <c r="A191">
        <v>190</v>
      </c>
      <c r="B191" t="s">
        <v>143</v>
      </c>
      <c r="C191" t="s">
        <v>329</v>
      </c>
    </row>
    <row r="192" spans="1:3" x14ac:dyDescent="0.25">
      <c r="A192">
        <v>191</v>
      </c>
      <c r="B192" t="s">
        <v>143</v>
      </c>
      <c r="C192" t="s">
        <v>330</v>
      </c>
    </row>
    <row r="193" spans="1:3" x14ac:dyDescent="0.25">
      <c r="A193">
        <v>192</v>
      </c>
      <c r="B193" t="s">
        <v>143</v>
      </c>
      <c r="C193" t="s">
        <v>331</v>
      </c>
    </row>
    <row r="194" spans="1:3" x14ac:dyDescent="0.25">
      <c r="A194">
        <v>193</v>
      </c>
      <c r="B194" t="s">
        <v>143</v>
      </c>
      <c r="C194" t="s">
        <v>332</v>
      </c>
    </row>
    <row r="195" spans="1:3" x14ac:dyDescent="0.25">
      <c r="A195">
        <v>194</v>
      </c>
      <c r="B195" t="s">
        <v>143</v>
      </c>
      <c r="C195" t="s">
        <v>333</v>
      </c>
    </row>
    <row r="196" spans="1:3" x14ac:dyDescent="0.25">
      <c r="A196">
        <v>195</v>
      </c>
      <c r="B196" t="s">
        <v>143</v>
      </c>
      <c r="C196" t="s">
        <v>334</v>
      </c>
    </row>
    <row r="197" spans="1:3" x14ac:dyDescent="0.25">
      <c r="A197">
        <v>196</v>
      </c>
      <c r="B197" t="s">
        <v>143</v>
      </c>
      <c r="C197" t="s">
        <v>335</v>
      </c>
    </row>
    <row r="198" spans="1:3" x14ac:dyDescent="0.25">
      <c r="A198">
        <v>197</v>
      </c>
      <c r="B198" t="s">
        <v>143</v>
      </c>
      <c r="C198" t="s">
        <v>336</v>
      </c>
    </row>
    <row r="199" spans="1:3" x14ac:dyDescent="0.25">
      <c r="A199">
        <v>198</v>
      </c>
      <c r="B199" t="s">
        <v>143</v>
      </c>
      <c r="C199" t="s">
        <v>337</v>
      </c>
    </row>
    <row r="200" spans="1:3" x14ac:dyDescent="0.25">
      <c r="A200">
        <v>199</v>
      </c>
      <c r="B200" t="s">
        <v>143</v>
      </c>
      <c r="C200" t="s">
        <v>338</v>
      </c>
    </row>
    <row r="201" spans="1:3" x14ac:dyDescent="0.25">
      <c r="A201">
        <v>200</v>
      </c>
      <c r="B201" t="s">
        <v>143</v>
      </c>
      <c r="C201" t="s">
        <v>339</v>
      </c>
    </row>
    <row r="202" spans="1:3" x14ac:dyDescent="0.25">
      <c r="A202">
        <v>201</v>
      </c>
      <c r="B202" t="s">
        <v>143</v>
      </c>
      <c r="C202" t="s">
        <v>340</v>
      </c>
    </row>
    <row r="203" spans="1:3" x14ac:dyDescent="0.25">
      <c r="A203">
        <v>202</v>
      </c>
      <c r="B203" t="s">
        <v>143</v>
      </c>
      <c r="C203" t="s">
        <v>341</v>
      </c>
    </row>
    <row r="204" spans="1:3" x14ac:dyDescent="0.25">
      <c r="A204">
        <v>203</v>
      </c>
      <c r="B204" t="s">
        <v>143</v>
      </c>
      <c r="C204" t="s">
        <v>342</v>
      </c>
    </row>
    <row r="205" spans="1:3" x14ac:dyDescent="0.25">
      <c r="A205">
        <v>204</v>
      </c>
      <c r="B205" t="s">
        <v>143</v>
      </c>
      <c r="C205" t="s">
        <v>343</v>
      </c>
    </row>
    <row r="206" spans="1:3" x14ac:dyDescent="0.25">
      <c r="A206">
        <v>205</v>
      </c>
      <c r="B206" t="s">
        <v>143</v>
      </c>
      <c r="C206" t="s">
        <v>344</v>
      </c>
    </row>
    <row r="207" spans="1:3" x14ac:dyDescent="0.25">
      <c r="A207">
        <v>206</v>
      </c>
      <c r="B207" t="s">
        <v>143</v>
      </c>
      <c r="C207" t="s">
        <v>345</v>
      </c>
    </row>
    <row r="208" spans="1:3" x14ac:dyDescent="0.25">
      <c r="A208">
        <v>207</v>
      </c>
      <c r="B208" t="s">
        <v>143</v>
      </c>
      <c r="C208" t="s">
        <v>346</v>
      </c>
    </row>
    <row r="209" spans="1:3" x14ac:dyDescent="0.25">
      <c r="A209">
        <v>208</v>
      </c>
      <c r="B209" t="s">
        <v>143</v>
      </c>
      <c r="C209" t="s">
        <v>347</v>
      </c>
    </row>
    <row r="210" spans="1:3" x14ac:dyDescent="0.25">
      <c r="A210">
        <v>209</v>
      </c>
      <c r="B210" t="s">
        <v>143</v>
      </c>
      <c r="C210" t="s">
        <v>348</v>
      </c>
    </row>
    <row r="211" spans="1:3" x14ac:dyDescent="0.25">
      <c r="A211">
        <v>210</v>
      </c>
      <c r="B211" t="s">
        <v>143</v>
      </c>
      <c r="C211" t="s">
        <v>349</v>
      </c>
    </row>
    <row r="212" spans="1:3" x14ac:dyDescent="0.25">
      <c r="A212">
        <v>211</v>
      </c>
      <c r="B212" t="s">
        <v>143</v>
      </c>
      <c r="C212" t="s">
        <v>350</v>
      </c>
    </row>
    <row r="213" spans="1:3" x14ac:dyDescent="0.25">
      <c r="A213">
        <v>212</v>
      </c>
      <c r="B213" t="s">
        <v>143</v>
      </c>
      <c r="C213" t="s">
        <v>351</v>
      </c>
    </row>
    <row r="214" spans="1:3" x14ac:dyDescent="0.25">
      <c r="A214">
        <v>213</v>
      </c>
      <c r="B214" t="s">
        <v>143</v>
      </c>
      <c r="C214" t="s">
        <v>352</v>
      </c>
    </row>
    <row r="215" spans="1:3" x14ac:dyDescent="0.25">
      <c r="A215">
        <v>214</v>
      </c>
      <c r="B215" t="s">
        <v>143</v>
      </c>
      <c r="C215" t="s">
        <v>353</v>
      </c>
    </row>
    <row r="216" spans="1:3" x14ac:dyDescent="0.25">
      <c r="A216">
        <v>215</v>
      </c>
      <c r="B216" t="s">
        <v>143</v>
      </c>
      <c r="C216" t="s">
        <v>354</v>
      </c>
    </row>
    <row r="217" spans="1:3" x14ac:dyDescent="0.25">
      <c r="A217">
        <v>216</v>
      </c>
      <c r="B217" t="s">
        <v>143</v>
      </c>
      <c r="C217" t="s">
        <v>355</v>
      </c>
    </row>
    <row r="218" spans="1:3" x14ac:dyDescent="0.25">
      <c r="A218">
        <v>217</v>
      </c>
      <c r="B218" t="s">
        <v>143</v>
      </c>
      <c r="C218" t="s">
        <v>356</v>
      </c>
    </row>
    <row r="219" spans="1:3" x14ac:dyDescent="0.25">
      <c r="A219">
        <v>218</v>
      </c>
      <c r="B219" t="s">
        <v>143</v>
      </c>
      <c r="C219" t="s">
        <v>357</v>
      </c>
    </row>
    <row r="220" spans="1:3" x14ac:dyDescent="0.25">
      <c r="A220">
        <v>219</v>
      </c>
      <c r="B220" t="s">
        <v>143</v>
      </c>
      <c r="C220" t="s">
        <v>358</v>
      </c>
    </row>
    <row r="221" spans="1:3" x14ac:dyDescent="0.25">
      <c r="A221">
        <v>220</v>
      </c>
      <c r="B221" t="s">
        <v>143</v>
      </c>
      <c r="C221" t="s">
        <v>359</v>
      </c>
    </row>
    <row r="222" spans="1:3" x14ac:dyDescent="0.25">
      <c r="A222">
        <v>221</v>
      </c>
      <c r="B222" t="s">
        <v>143</v>
      </c>
      <c r="C222" t="s">
        <v>360</v>
      </c>
    </row>
    <row r="223" spans="1:3" x14ac:dyDescent="0.25">
      <c r="A223">
        <v>222</v>
      </c>
      <c r="B223" t="s">
        <v>143</v>
      </c>
      <c r="C223" t="s">
        <v>361</v>
      </c>
    </row>
    <row r="224" spans="1:3" x14ac:dyDescent="0.25">
      <c r="A224">
        <v>223</v>
      </c>
      <c r="B224" t="s">
        <v>143</v>
      </c>
      <c r="C224" t="s">
        <v>362</v>
      </c>
    </row>
    <row r="225" spans="1:3" x14ac:dyDescent="0.25">
      <c r="A225">
        <v>224</v>
      </c>
      <c r="B225" t="s">
        <v>143</v>
      </c>
      <c r="C225" t="s">
        <v>363</v>
      </c>
    </row>
    <row r="226" spans="1:3" x14ac:dyDescent="0.25">
      <c r="A226">
        <v>225</v>
      </c>
      <c r="B226" t="s">
        <v>143</v>
      </c>
      <c r="C226" t="s">
        <v>364</v>
      </c>
    </row>
    <row r="227" spans="1:3" x14ac:dyDescent="0.25">
      <c r="A227">
        <v>226</v>
      </c>
      <c r="B227" t="s">
        <v>143</v>
      </c>
      <c r="C227" t="s">
        <v>365</v>
      </c>
    </row>
    <row r="228" spans="1:3" x14ac:dyDescent="0.25">
      <c r="A228">
        <v>227</v>
      </c>
      <c r="B228" t="s">
        <v>143</v>
      </c>
      <c r="C228" t="s">
        <v>366</v>
      </c>
    </row>
    <row r="229" spans="1:3" x14ac:dyDescent="0.25">
      <c r="A229">
        <v>228</v>
      </c>
      <c r="B229" t="s">
        <v>143</v>
      </c>
      <c r="C229" t="s">
        <v>367</v>
      </c>
    </row>
    <row r="230" spans="1:3" x14ac:dyDescent="0.25">
      <c r="A230">
        <v>229</v>
      </c>
      <c r="B230" t="s">
        <v>143</v>
      </c>
      <c r="C230" t="s">
        <v>368</v>
      </c>
    </row>
    <row r="231" spans="1:3" x14ac:dyDescent="0.25">
      <c r="A231">
        <v>230</v>
      </c>
      <c r="B231" t="s">
        <v>143</v>
      </c>
      <c r="C231" t="s">
        <v>369</v>
      </c>
    </row>
    <row r="232" spans="1:3" x14ac:dyDescent="0.25">
      <c r="A232">
        <v>231</v>
      </c>
      <c r="B232" t="s">
        <v>143</v>
      </c>
      <c r="C232" t="s">
        <v>370</v>
      </c>
    </row>
    <row r="233" spans="1:3" x14ac:dyDescent="0.25">
      <c r="A233">
        <v>232</v>
      </c>
      <c r="B233" t="s">
        <v>143</v>
      </c>
      <c r="C233" t="s">
        <v>371</v>
      </c>
    </row>
    <row r="234" spans="1:3" x14ac:dyDescent="0.25">
      <c r="A234">
        <v>233</v>
      </c>
      <c r="B234" t="s">
        <v>143</v>
      </c>
      <c r="C234" t="s">
        <v>372</v>
      </c>
    </row>
    <row r="235" spans="1:3" x14ac:dyDescent="0.25">
      <c r="A235">
        <v>234</v>
      </c>
      <c r="B235" t="s">
        <v>143</v>
      </c>
      <c r="C235" t="s">
        <v>373</v>
      </c>
    </row>
    <row r="236" spans="1:3" x14ac:dyDescent="0.25">
      <c r="A236">
        <v>235</v>
      </c>
      <c r="B236" t="s">
        <v>143</v>
      </c>
      <c r="C236" t="s">
        <v>374</v>
      </c>
    </row>
    <row r="237" spans="1:3" x14ac:dyDescent="0.25">
      <c r="A237">
        <v>236</v>
      </c>
      <c r="B237" t="s">
        <v>143</v>
      </c>
      <c r="C237" t="s">
        <v>375</v>
      </c>
    </row>
    <row r="238" spans="1:3" x14ac:dyDescent="0.25">
      <c r="A238">
        <v>237</v>
      </c>
      <c r="B238" t="s">
        <v>143</v>
      </c>
      <c r="C238" t="s">
        <v>376</v>
      </c>
    </row>
    <row r="239" spans="1:3" x14ac:dyDescent="0.25">
      <c r="A239">
        <v>238</v>
      </c>
      <c r="B239" t="s">
        <v>143</v>
      </c>
      <c r="C239" t="s">
        <v>377</v>
      </c>
    </row>
    <row r="240" spans="1:3" x14ac:dyDescent="0.25">
      <c r="A240">
        <v>239</v>
      </c>
      <c r="B240" t="s">
        <v>143</v>
      </c>
      <c r="C240" t="s">
        <v>378</v>
      </c>
    </row>
    <row r="241" spans="1:3" x14ac:dyDescent="0.25">
      <c r="A241">
        <v>240</v>
      </c>
      <c r="B241" t="s">
        <v>143</v>
      </c>
      <c r="C241" t="s">
        <v>379</v>
      </c>
    </row>
    <row r="242" spans="1:3" x14ac:dyDescent="0.25">
      <c r="A242">
        <v>241</v>
      </c>
      <c r="B242" t="s">
        <v>143</v>
      </c>
      <c r="C242" t="s">
        <v>380</v>
      </c>
    </row>
    <row r="243" spans="1:3" x14ac:dyDescent="0.25">
      <c r="A243">
        <v>242</v>
      </c>
      <c r="B243" t="s">
        <v>143</v>
      </c>
      <c r="C243" t="s">
        <v>381</v>
      </c>
    </row>
    <row r="244" spans="1:3" x14ac:dyDescent="0.25">
      <c r="A244">
        <v>243</v>
      </c>
      <c r="B244" t="s">
        <v>143</v>
      </c>
      <c r="C244" t="s">
        <v>382</v>
      </c>
    </row>
    <row r="245" spans="1:3" x14ac:dyDescent="0.25">
      <c r="A245">
        <v>244</v>
      </c>
      <c r="B245" t="s">
        <v>143</v>
      </c>
      <c r="C245" t="s">
        <v>383</v>
      </c>
    </row>
    <row r="246" spans="1:3" x14ac:dyDescent="0.25">
      <c r="A246">
        <v>245</v>
      </c>
      <c r="B246" t="s">
        <v>143</v>
      </c>
      <c r="C246" t="s">
        <v>384</v>
      </c>
    </row>
    <row r="247" spans="1:3" x14ac:dyDescent="0.25">
      <c r="A247">
        <v>246</v>
      </c>
      <c r="B247" t="s">
        <v>143</v>
      </c>
      <c r="C247" t="s">
        <v>385</v>
      </c>
    </row>
    <row r="248" spans="1:3" x14ac:dyDescent="0.25">
      <c r="A248">
        <v>247</v>
      </c>
      <c r="B248" t="s">
        <v>143</v>
      </c>
      <c r="C248" t="s">
        <v>386</v>
      </c>
    </row>
    <row r="249" spans="1:3" x14ac:dyDescent="0.25">
      <c r="A249">
        <v>248</v>
      </c>
      <c r="B249" t="s">
        <v>2811</v>
      </c>
      <c r="C249" t="s">
        <v>2815</v>
      </c>
    </row>
    <row r="250" spans="1:3" x14ac:dyDescent="0.25">
      <c r="A250">
        <v>249</v>
      </c>
      <c r="B250" t="s">
        <v>143</v>
      </c>
      <c r="C250" t="s">
        <v>388</v>
      </c>
    </row>
    <row r="251" spans="1:3" x14ac:dyDescent="0.25">
      <c r="A251">
        <v>250</v>
      </c>
      <c r="B251" t="s">
        <v>143</v>
      </c>
      <c r="C251" t="s">
        <v>389</v>
      </c>
    </row>
    <row r="252" spans="1:3" x14ac:dyDescent="0.25">
      <c r="A252">
        <v>251</v>
      </c>
      <c r="B252" t="s">
        <v>143</v>
      </c>
      <c r="C252" t="s">
        <v>390</v>
      </c>
    </row>
    <row r="253" spans="1:3" x14ac:dyDescent="0.25">
      <c r="A253">
        <v>252</v>
      </c>
      <c r="B253" t="s">
        <v>143</v>
      </c>
      <c r="C253" t="s">
        <v>391</v>
      </c>
    </row>
    <row r="254" spans="1:3" x14ac:dyDescent="0.25">
      <c r="A254">
        <v>253</v>
      </c>
      <c r="B254" t="s">
        <v>143</v>
      </c>
      <c r="C254" t="s">
        <v>392</v>
      </c>
    </row>
    <row r="255" spans="1:3" x14ac:dyDescent="0.25">
      <c r="A255">
        <v>254</v>
      </c>
      <c r="B255" t="s">
        <v>143</v>
      </c>
      <c r="C255" t="s">
        <v>393</v>
      </c>
    </row>
    <row r="256" spans="1:3" x14ac:dyDescent="0.25">
      <c r="A256">
        <v>255</v>
      </c>
      <c r="B256" t="s">
        <v>143</v>
      </c>
      <c r="C256" t="s">
        <v>394</v>
      </c>
    </row>
    <row r="257" spans="1:3" x14ac:dyDescent="0.25">
      <c r="A257">
        <v>256</v>
      </c>
      <c r="B257" t="s">
        <v>143</v>
      </c>
      <c r="C257" t="s">
        <v>395</v>
      </c>
    </row>
    <row r="258" spans="1:3" x14ac:dyDescent="0.25">
      <c r="A258">
        <v>257</v>
      </c>
      <c r="B258" t="s">
        <v>143</v>
      </c>
      <c r="C258" t="s">
        <v>396</v>
      </c>
    </row>
    <row r="259" spans="1:3" x14ac:dyDescent="0.25">
      <c r="A259">
        <v>258</v>
      </c>
      <c r="B259" t="s">
        <v>143</v>
      </c>
      <c r="C259" t="s">
        <v>397</v>
      </c>
    </row>
    <row r="260" spans="1:3" x14ac:dyDescent="0.25">
      <c r="A260">
        <v>259</v>
      </c>
      <c r="B260" t="s">
        <v>143</v>
      </c>
      <c r="C260" t="s">
        <v>398</v>
      </c>
    </row>
    <row r="261" spans="1:3" x14ac:dyDescent="0.25">
      <c r="A261">
        <v>260</v>
      </c>
      <c r="B261" t="s">
        <v>143</v>
      </c>
      <c r="C261" t="s">
        <v>399</v>
      </c>
    </row>
    <row r="262" spans="1:3" x14ac:dyDescent="0.25">
      <c r="A262">
        <v>261</v>
      </c>
      <c r="B262" t="s">
        <v>143</v>
      </c>
      <c r="C262" t="s">
        <v>400</v>
      </c>
    </row>
    <row r="263" spans="1:3" x14ac:dyDescent="0.25">
      <c r="A263">
        <v>262</v>
      </c>
      <c r="B263" t="s">
        <v>143</v>
      </c>
      <c r="C263" t="s">
        <v>401</v>
      </c>
    </row>
    <row r="264" spans="1:3" x14ac:dyDescent="0.25">
      <c r="A264">
        <v>263</v>
      </c>
      <c r="B264" t="s">
        <v>143</v>
      </c>
      <c r="C264" t="s">
        <v>402</v>
      </c>
    </row>
    <row r="265" spans="1:3" x14ac:dyDescent="0.25">
      <c r="A265">
        <v>264</v>
      </c>
      <c r="B265" t="s">
        <v>143</v>
      </c>
      <c r="C265" t="s">
        <v>403</v>
      </c>
    </row>
    <row r="266" spans="1:3" x14ac:dyDescent="0.25">
      <c r="A266">
        <v>265</v>
      </c>
      <c r="B266" t="s">
        <v>143</v>
      </c>
      <c r="C266" t="s">
        <v>404</v>
      </c>
    </row>
    <row r="267" spans="1:3" x14ac:dyDescent="0.25">
      <c r="A267">
        <v>266</v>
      </c>
      <c r="B267" t="s">
        <v>143</v>
      </c>
      <c r="C267" t="s">
        <v>405</v>
      </c>
    </row>
    <row r="268" spans="1:3" x14ac:dyDescent="0.25">
      <c r="A268">
        <v>267</v>
      </c>
      <c r="B268" t="s">
        <v>2084</v>
      </c>
      <c r="C268" t="s">
        <v>2090</v>
      </c>
    </row>
    <row r="269" spans="1:3" x14ac:dyDescent="0.25">
      <c r="A269">
        <v>268</v>
      </c>
      <c r="B269" t="s">
        <v>2086</v>
      </c>
      <c r="C269" t="s">
        <v>2095</v>
      </c>
    </row>
    <row r="270" spans="1:3" x14ac:dyDescent="0.25">
      <c r="A270">
        <v>269</v>
      </c>
      <c r="B270" t="s">
        <v>143</v>
      </c>
      <c r="C270" t="s">
        <v>408</v>
      </c>
    </row>
    <row r="271" spans="1:3" x14ac:dyDescent="0.25">
      <c r="A271">
        <v>270</v>
      </c>
      <c r="B271" t="s">
        <v>143</v>
      </c>
      <c r="C271" t="s">
        <v>409</v>
      </c>
    </row>
    <row r="272" spans="1:3" x14ac:dyDescent="0.25">
      <c r="A272">
        <v>271</v>
      </c>
      <c r="B272" t="s">
        <v>143</v>
      </c>
      <c r="C272" t="s">
        <v>410</v>
      </c>
    </row>
    <row r="273" spans="1:3" x14ac:dyDescent="0.25">
      <c r="A273">
        <v>272</v>
      </c>
      <c r="B273" t="s">
        <v>2087</v>
      </c>
      <c r="C273" t="s">
        <v>2816</v>
      </c>
    </row>
    <row r="274" spans="1:3" x14ac:dyDescent="0.25">
      <c r="A274">
        <v>273</v>
      </c>
      <c r="B274" t="s">
        <v>143</v>
      </c>
      <c r="C274" t="s">
        <v>412</v>
      </c>
    </row>
    <row r="275" spans="1:3" x14ac:dyDescent="0.25">
      <c r="A275">
        <v>274</v>
      </c>
      <c r="B275" t="s">
        <v>143</v>
      </c>
      <c r="C275" t="s">
        <v>413</v>
      </c>
    </row>
    <row r="276" spans="1:3" x14ac:dyDescent="0.25">
      <c r="A276">
        <v>275</v>
      </c>
      <c r="B276" t="s">
        <v>143</v>
      </c>
      <c r="C276" t="s">
        <v>414</v>
      </c>
    </row>
    <row r="277" spans="1:3" x14ac:dyDescent="0.25">
      <c r="A277">
        <v>276</v>
      </c>
      <c r="B277" t="s">
        <v>143</v>
      </c>
      <c r="C277" t="s">
        <v>415</v>
      </c>
    </row>
    <row r="278" spans="1:3" x14ac:dyDescent="0.25">
      <c r="A278">
        <v>277</v>
      </c>
      <c r="B278" t="s">
        <v>143</v>
      </c>
      <c r="C278" t="s">
        <v>416</v>
      </c>
    </row>
    <row r="279" spans="1:3" x14ac:dyDescent="0.25">
      <c r="A279">
        <v>278</v>
      </c>
      <c r="B279" t="s">
        <v>143</v>
      </c>
      <c r="C279" t="s">
        <v>417</v>
      </c>
    </row>
    <row r="280" spans="1:3" x14ac:dyDescent="0.25">
      <c r="A280">
        <v>279</v>
      </c>
      <c r="B280" t="s">
        <v>143</v>
      </c>
      <c r="C280" t="s">
        <v>418</v>
      </c>
    </row>
    <row r="281" spans="1:3" x14ac:dyDescent="0.25">
      <c r="A281">
        <v>280</v>
      </c>
      <c r="B281" t="s">
        <v>143</v>
      </c>
      <c r="C281" t="s">
        <v>419</v>
      </c>
    </row>
    <row r="282" spans="1:3" x14ac:dyDescent="0.25">
      <c r="A282">
        <v>281</v>
      </c>
      <c r="B282" t="s">
        <v>143</v>
      </c>
      <c r="C282" t="s">
        <v>420</v>
      </c>
    </row>
    <row r="283" spans="1:3" x14ac:dyDescent="0.25">
      <c r="A283">
        <v>282</v>
      </c>
      <c r="B283" t="s">
        <v>143</v>
      </c>
      <c r="C283" t="s">
        <v>421</v>
      </c>
    </row>
    <row r="284" spans="1:3" x14ac:dyDescent="0.25">
      <c r="A284">
        <v>283</v>
      </c>
      <c r="B284" t="s">
        <v>143</v>
      </c>
      <c r="C284" t="s">
        <v>422</v>
      </c>
    </row>
    <row r="285" spans="1:3" x14ac:dyDescent="0.25">
      <c r="A285">
        <v>284</v>
      </c>
      <c r="B285" t="s">
        <v>143</v>
      </c>
      <c r="C285" t="s">
        <v>423</v>
      </c>
    </row>
    <row r="286" spans="1:3" x14ac:dyDescent="0.25">
      <c r="A286">
        <v>285</v>
      </c>
      <c r="B286" t="s">
        <v>143</v>
      </c>
      <c r="C286" t="s">
        <v>424</v>
      </c>
    </row>
    <row r="287" spans="1:3" x14ac:dyDescent="0.25">
      <c r="A287">
        <v>286</v>
      </c>
      <c r="B287" t="s">
        <v>143</v>
      </c>
      <c r="C287" t="s">
        <v>425</v>
      </c>
    </row>
    <row r="288" spans="1:3" x14ac:dyDescent="0.25">
      <c r="A288">
        <v>287</v>
      </c>
      <c r="B288" t="s">
        <v>143</v>
      </c>
      <c r="C288" t="s">
        <v>426</v>
      </c>
    </row>
    <row r="289" spans="1:3" x14ac:dyDescent="0.25">
      <c r="A289">
        <v>288</v>
      </c>
      <c r="B289" t="s">
        <v>143</v>
      </c>
      <c r="C289" t="s">
        <v>427</v>
      </c>
    </row>
    <row r="290" spans="1:3" x14ac:dyDescent="0.25">
      <c r="A290">
        <v>289</v>
      </c>
      <c r="B290" t="s">
        <v>143</v>
      </c>
      <c r="C290" t="s">
        <v>428</v>
      </c>
    </row>
    <row r="291" spans="1:3" x14ac:dyDescent="0.25">
      <c r="A291">
        <v>290</v>
      </c>
      <c r="B291" t="s">
        <v>143</v>
      </c>
      <c r="C291" t="s">
        <v>429</v>
      </c>
    </row>
    <row r="292" spans="1:3" x14ac:dyDescent="0.25">
      <c r="A292">
        <v>291</v>
      </c>
      <c r="B292" t="s">
        <v>143</v>
      </c>
      <c r="C292" t="s">
        <v>430</v>
      </c>
    </row>
    <row r="293" spans="1:3" x14ac:dyDescent="0.25">
      <c r="A293">
        <v>292</v>
      </c>
      <c r="B293" t="s">
        <v>143</v>
      </c>
      <c r="C293" t="s">
        <v>431</v>
      </c>
    </row>
    <row r="294" spans="1:3" x14ac:dyDescent="0.25">
      <c r="A294">
        <v>293</v>
      </c>
      <c r="B294" t="s">
        <v>143</v>
      </c>
      <c r="C294" t="s">
        <v>432</v>
      </c>
    </row>
    <row r="295" spans="1:3" x14ac:dyDescent="0.25">
      <c r="A295">
        <v>294</v>
      </c>
      <c r="B295" t="s">
        <v>143</v>
      </c>
      <c r="C295" t="s">
        <v>433</v>
      </c>
    </row>
    <row r="296" spans="1:3" x14ac:dyDescent="0.25">
      <c r="A296">
        <v>295</v>
      </c>
      <c r="B296" t="s">
        <v>143</v>
      </c>
      <c r="C296" t="s">
        <v>434</v>
      </c>
    </row>
    <row r="297" spans="1:3" x14ac:dyDescent="0.25">
      <c r="A297">
        <v>296</v>
      </c>
      <c r="B297" t="s">
        <v>143</v>
      </c>
      <c r="C297" t="s">
        <v>435</v>
      </c>
    </row>
    <row r="298" spans="1:3" x14ac:dyDescent="0.25">
      <c r="A298">
        <v>297</v>
      </c>
      <c r="B298" t="s">
        <v>143</v>
      </c>
      <c r="C298" t="s">
        <v>436</v>
      </c>
    </row>
    <row r="299" spans="1:3" x14ac:dyDescent="0.25">
      <c r="A299">
        <v>298</v>
      </c>
      <c r="B299" t="s">
        <v>143</v>
      </c>
      <c r="C299" t="s">
        <v>437</v>
      </c>
    </row>
    <row r="300" spans="1:3" x14ac:dyDescent="0.25">
      <c r="A300">
        <v>299</v>
      </c>
      <c r="B300" t="s">
        <v>143</v>
      </c>
      <c r="C300" t="s">
        <v>438</v>
      </c>
    </row>
    <row r="301" spans="1:3" x14ac:dyDescent="0.25">
      <c r="A301">
        <v>300</v>
      </c>
      <c r="B301" t="s">
        <v>143</v>
      </c>
      <c r="C301" t="s">
        <v>439</v>
      </c>
    </row>
    <row r="302" spans="1:3" x14ac:dyDescent="0.25">
      <c r="A302">
        <v>301</v>
      </c>
      <c r="B302" t="s">
        <v>143</v>
      </c>
      <c r="C302" t="s">
        <v>440</v>
      </c>
    </row>
    <row r="303" spans="1:3" x14ac:dyDescent="0.25">
      <c r="A303">
        <v>302</v>
      </c>
      <c r="B303" t="s">
        <v>143</v>
      </c>
      <c r="C303" t="s">
        <v>441</v>
      </c>
    </row>
    <row r="304" spans="1:3" x14ac:dyDescent="0.25">
      <c r="A304">
        <v>303</v>
      </c>
      <c r="B304" t="s">
        <v>143</v>
      </c>
      <c r="C304" t="s">
        <v>442</v>
      </c>
    </row>
    <row r="305" spans="1:3" x14ac:dyDescent="0.25">
      <c r="A305">
        <v>304</v>
      </c>
      <c r="B305" t="s">
        <v>143</v>
      </c>
      <c r="C305" t="s">
        <v>443</v>
      </c>
    </row>
    <row r="306" spans="1:3" x14ac:dyDescent="0.25">
      <c r="A306">
        <v>305</v>
      </c>
      <c r="B306" t="s">
        <v>143</v>
      </c>
      <c r="C306" t="s">
        <v>444</v>
      </c>
    </row>
    <row r="307" spans="1:3" x14ac:dyDescent="0.25">
      <c r="A307">
        <v>306</v>
      </c>
      <c r="B307" t="s">
        <v>143</v>
      </c>
      <c r="C307" t="s">
        <v>445</v>
      </c>
    </row>
    <row r="308" spans="1:3" x14ac:dyDescent="0.25">
      <c r="A308">
        <v>307</v>
      </c>
      <c r="B308" t="s">
        <v>143</v>
      </c>
      <c r="C308" t="s">
        <v>446</v>
      </c>
    </row>
    <row r="309" spans="1:3" x14ac:dyDescent="0.25">
      <c r="A309">
        <v>308</v>
      </c>
      <c r="B309" t="s">
        <v>143</v>
      </c>
      <c r="C309" t="s">
        <v>447</v>
      </c>
    </row>
    <row r="310" spans="1:3" x14ac:dyDescent="0.25">
      <c r="A310">
        <v>309</v>
      </c>
      <c r="B310" t="s">
        <v>143</v>
      </c>
      <c r="C310" t="s">
        <v>448</v>
      </c>
    </row>
    <row r="311" spans="1:3" x14ac:dyDescent="0.25">
      <c r="A311">
        <v>310</v>
      </c>
      <c r="B311" t="s">
        <v>143</v>
      </c>
      <c r="C311" t="s">
        <v>449</v>
      </c>
    </row>
    <row r="312" spans="1:3" x14ac:dyDescent="0.25">
      <c r="A312">
        <v>311</v>
      </c>
      <c r="B312" t="s">
        <v>143</v>
      </c>
      <c r="C312" t="s">
        <v>450</v>
      </c>
    </row>
    <row r="313" spans="1:3" x14ac:dyDescent="0.25">
      <c r="A313">
        <v>312</v>
      </c>
      <c r="B313" t="s">
        <v>143</v>
      </c>
      <c r="C313" t="s">
        <v>451</v>
      </c>
    </row>
    <row r="314" spans="1:3" x14ac:dyDescent="0.25">
      <c r="A314">
        <v>313</v>
      </c>
      <c r="B314" t="s">
        <v>143</v>
      </c>
      <c r="C314" t="s">
        <v>452</v>
      </c>
    </row>
    <row r="315" spans="1:3" x14ac:dyDescent="0.25">
      <c r="A315">
        <v>314</v>
      </c>
      <c r="B315" t="s">
        <v>143</v>
      </c>
      <c r="C315" t="s">
        <v>453</v>
      </c>
    </row>
    <row r="316" spans="1:3" x14ac:dyDescent="0.25">
      <c r="A316">
        <v>315</v>
      </c>
      <c r="B316" t="s">
        <v>143</v>
      </c>
      <c r="C316" t="s">
        <v>454</v>
      </c>
    </row>
    <row r="317" spans="1:3" x14ac:dyDescent="0.25">
      <c r="A317">
        <v>316</v>
      </c>
      <c r="B317" t="s">
        <v>143</v>
      </c>
      <c r="C317" t="s">
        <v>455</v>
      </c>
    </row>
    <row r="318" spans="1:3" x14ac:dyDescent="0.25">
      <c r="A318">
        <v>317</v>
      </c>
      <c r="B318" t="s">
        <v>143</v>
      </c>
      <c r="C318" t="s">
        <v>456</v>
      </c>
    </row>
    <row r="319" spans="1:3" x14ac:dyDescent="0.25">
      <c r="A319">
        <v>318</v>
      </c>
      <c r="B319" t="s">
        <v>143</v>
      </c>
      <c r="C319" t="s">
        <v>457</v>
      </c>
    </row>
    <row r="320" spans="1:3" x14ac:dyDescent="0.25">
      <c r="A320">
        <v>319</v>
      </c>
      <c r="B320" t="s">
        <v>143</v>
      </c>
      <c r="C320" t="s">
        <v>458</v>
      </c>
    </row>
    <row r="321" spans="1:3" x14ac:dyDescent="0.25">
      <c r="A321">
        <v>320</v>
      </c>
      <c r="B321" t="s">
        <v>143</v>
      </c>
      <c r="C321" t="s">
        <v>459</v>
      </c>
    </row>
    <row r="322" spans="1:3" x14ac:dyDescent="0.25">
      <c r="A322">
        <v>321</v>
      </c>
      <c r="B322" t="s">
        <v>143</v>
      </c>
      <c r="C322" t="s">
        <v>460</v>
      </c>
    </row>
    <row r="323" spans="1:3" x14ac:dyDescent="0.25">
      <c r="A323">
        <v>322</v>
      </c>
      <c r="B323" t="s">
        <v>143</v>
      </c>
      <c r="C323" t="s">
        <v>461</v>
      </c>
    </row>
    <row r="324" spans="1:3" x14ac:dyDescent="0.25">
      <c r="A324">
        <v>323</v>
      </c>
      <c r="B324" t="s">
        <v>143</v>
      </c>
      <c r="C324" t="s">
        <v>462</v>
      </c>
    </row>
    <row r="325" spans="1:3" x14ac:dyDescent="0.25">
      <c r="A325">
        <v>324</v>
      </c>
      <c r="B325" t="s">
        <v>143</v>
      </c>
      <c r="C325" t="s">
        <v>463</v>
      </c>
    </row>
    <row r="326" spans="1:3" x14ac:dyDescent="0.25">
      <c r="A326">
        <v>325</v>
      </c>
      <c r="B326" t="s">
        <v>143</v>
      </c>
      <c r="C326" t="s">
        <v>464</v>
      </c>
    </row>
    <row r="327" spans="1:3" x14ac:dyDescent="0.25">
      <c r="A327">
        <v>326</v>
      </c>
      <c r="B327" t="s">
        <v>143</v>
      </c>
      <c r="C327" t="s">
        <v>465</v>
      </c>
    </row>
    <row r="328" spans="1:3" x14ac:dyDescent="0.25">
      <c r="A328">
        <v>327</v>
      </c>
      <c r="B328" t="s">
        <v>143</v>
      </c>
      <c r="C328" t="s">
        <v>466</v>
      </c>
    </row>
    <row r="329" spans="1:3" x14ac:dyDescent="0.25">
      <c r="A329">
        <v>328</v>
      </c>
      <c r="B329" t="s">
        <v>143</v>
      </c>
      <c r="C329" t="s">
        <v>467</v>
      </c>
    </row>
    <row r="330" spans="1:3" x14ac:dyDescent="0.25">
      <c r="A330">
        <v>329</v>
      </c>
      <c r="B330" t="s">
        <v>143</v>
      </c>
      <c r="C330" t="s">
        <v>468</v>
      </c>
    </row>
    <row r="331" spans="1:3" x14ac:dyDescent="0.25">
      <c r="A331">
        <v>330</v>
      </c>
      <c r="B331" t="s">
        <v>143</v>
      </c>
      <c r="C331" t="s">
        <v>469</v>
      </c>
    </row>
    <row r="332" spans="1:3" x14ac:dyDescent="0.25">
      <c r="A332">
        <v>331</v>
      </c>
      <c r="B332" t="s">
        <v>143</v>
      </c>
      <c r="C332" t="s">
        <v>470</v>
      </c>
    </row>
    <row r="333" spans="1:3" x14ac:dyDescent="0.25">
      <c r="A333">
        <v>332</v>
      </c>
      <c r="B333" t="s">
        <v>143</v>
      </c>
      <c r="C333" t="s">
        <v>471</v>
      </c>
    </row>
    <row r="334" spans="1:3" x14ac:dyDescent="0.25">
      <c r="A334">
        <v>333</v>
      </c>
      <c r="B334" t="s">
        <v>143</v>
      </c>
      <c r="C334" t="s">
        <v>472</v>
      </c>
    </row>
    <row r="335" spans="1:3" x14ac:dyDescent="0.25">
      <c r="A335">
        <v>334</v>
      </c>
      <c r="B335" t="s">
        <v>143</v>
      </c>
      <c r="C335" t="s">
        <v>473</v>
      </c>
    </row>
    <row r="336" spans="1:3" x14ac:dyDescent="0.25">
      <c r="A336">
        <v>335</v>
      </c>
      <c r="B336" t="s">
        <v>143</v>
      </c>
      <c r="C336" t="s">
        <v>474</v>
      </c>
    </row>
    <row r="337" spans="1:3" x14ac:dyDescent="0.25">
      <c r="A337">
        <v>336</v>
      </c>
      <c r="B337" t="s">
        <v>143</v>
      </c>
      <c r="C337" t="s">
        <v>475</v>
      </c>
    </row>
    <row r="338" spans="1:3" x14ac:dyDescent="0.25">
      <c r="A338">
        <v>337</v>
      </c>
      <c r="B338" t="s">
        <v>143</v>
      </c>
      <c r="C338" t="s">
        <v>476</v>
      </c>
    </row>
    <row r="339" spans="1:3" x14ac:dyDescent="0.25">
      <c r="A339">
        <v>338</v>
      </c>
      <c r="B339" t="s">
        <v>143</v>
      </c>
      <c r="C339" t="s">
        <v>477</v>
      </c>
    </row>
    <row r="340" spans="1:3" x14ac:dyDescent="0.25">
      <c r="A340">
        <v>339</v>
      </c>
      <c r="B340" t="s">
        <v>143</v>
      </c>
      <c r="C340" t="s">
        <v>478</v>
      </c>
    </row>
    <row r="341" spans="1:3" x14ac:dyDescent="0.25">
      <c r="A341">
        <v>340</v>
      </c>
      <c r="B341" t="s">
        <v>143</v>
      </c>
      <c r="C341" t="s">
        <v>479</v>
      </c>
    </row>
    <row r="342" spans="1:3" x14ac:dyDescent="0.25">
      <c r="A342">
        <v>341</v>
      </c>
      <c r="B342" t="s">
        <v>143</v>
      </c>
      <c r="C342" t="s">
        <v>480</v>
      </c>
    </row>
    <row r="343" spans="1:3" x14ac:dyDescent="0.25">
      <c r="A343">
        <v>342</v>
      </c>
      <c r="B343" t="s">
        <v>143</v>
      </c>
      <c r="C343" t="s">
        <v>481</v>
      </c>
    </row>
    <row r="344" spans="1:3" x14ac:dyDescent="0.25">
      <c r="A344">
        <v>343</v>
      </c>
      <c r="B344" t="s">
        <v>143</v>
      </c>
      <c r="C344" t="s">
        <v>482</v>
      </c>
    </row>
    <row r="345" spans="1:3" x14ac:dyDescent="0.25">
      <c r="A345">
        <v>344</v>
      </c>
      <c r="B345" t="s">
        <v>143</v>
      </c>
      <c r="C345" t="s">
        <v>483</v>
      </c>
    </row>
    <row r="346" spans="1:3" x14ac:dyDescent="0.25">
      <c r="A346">
        <v>345</v>
      </c>
      <c r="B346" t="s">
        <v>143</v>
      </c>
      <c r="C346" t="s">
        <v>484</v>
      </c>
    </row>
    <row r="347" spans="1:3" x14ac:dyDescent="0.25">
      <c r="A347">
        <v>346</v>
      </c>
      <c r="B347" t="s">
        <v>143</v>
      </c>
      <c r="C347" t="s">
        <v>485</v>
      </c>
    </row>
    <row r="348" spans="1:3" x14ac:dyDescent="0.25">
      <c r="A348">
        <v>347</v>
      </c>
      <c r="B348" t="s">
        <v>143</v>
      </c>
      <c r="C348" t="s">
        <v>486</v>
      </c>
    </row>
    <row r="349" spans="1:3" x14ac:dyDescent="0.25">
      <c r="A349">
        <v>348</v>
      </c>
      <c r="B349" t="s">
        <v>143</v>
      </c>
      <c r="C349" t="s">
        <v>487</v>
      </c>
    </row>
    <row r="350" spans="1:3" x14ac:dyDescent="0.25">
      <c r="A350">
        <v>349</v>
      </c>
      <c r="B350" t="s">
        <v>143</v>
      </c>
      <c r="C350" t="s">
        <v>488</v>
      </c>
    </row>
    <row r="351" spans="1:3" x14ac:dyDescent="0.25">
      <c r="A351">
        <v>350</v>
      </c>
      <c r="B351" t="s">
        <v>143</v>
      </c>
      <c r="C351" t="s">
        <v>489</v>
      </c>
    </row>
    <row r="352" spans="1:3" x14ac:dyDescent="0.25">
      <c r="A352">
        <v>351</v>
      </c>
      <c r="B352" t="s">
        <v>143</v>
      </c>
      <c r="C352" t="s">
        <v>490</v>
      </c>
    </row>
    <row r="353" spans="1:3" x14ac:dyDescent="0.25">
      <c r="A353">
        <v>352</v>
      </c>
      <c r="B353" t="s">
        <v>143</v>
      </c>
      <c r="C353" t="s">
        <v>491</v>
      </c>
    </row>
    <row r="354" spans="1:3" x14ac:dyDescent="0.25">
      <c r="A354">
        <v>353</v>
      </c>
      <c r="B354" t="s">
        <v>143</v>
      </c>
      <c r="C354" t="s">
        <v>492</v>
      </c>
    </row>
    <row r="355" spans="1:3" x14ac:dyDescent="0.25">
      <c r="A355">
        <v>354</v>
      </c>
      <c r="B355" t="s">
        <v>143</v>
      </c>
      <c r="C355" t="s">
        <v>493</v>
      </c>
    </row>
    <row r="356" spans="1:3" x14ac:dyDescent="0.25">
      <c r="A356">
        <v>355</v>
      </c>
      <c r="B356" t="s">
        <v>143</v>
      </c>
      <c r="C356" t="s">
        <v>494</v>
      </c>
    </row>
    <row r="357" spans="1:3" x14ac:dyDescent="0.25">
      <c r="A357">
        <v>356</v>
      </c>
      <c r="B357" t="s">
        <v>143</v>
      </c>
      <c r="C357" t="s">
        <v>495</v>
      </c>
    </row>
    <row r="358" spans="1:3" x14ac:dyDescent="0.25">
      <c r="A358">
        <v>357</v>
      </c>
      <c r="B358" t="s">
        <v>143</v>
      </c>
      <c r="C358" t="s">
        <v>496</v>
      </c>
    </row>
    <row r="359" spans="1:3" x14ac:dyDescent="0.25">
      <c r="A359">
        <v>358</v>
      </c>
      <c r="B359" t="s">
        <v>143</v>
      </c>
      <c r="C359" t="s">
        <v>497</v>
      </c>
    </row>
    <row r="360" spans="1:3" x14ac:dyDescent="0.25">
      <c r="A360">
        <v>359</v>
      </c>
      <c r="B360" t="s">
        <v>143</v>
      </c>
      <c r="C360" t="s">
        <v>498</v>
      </c>
    </row>
    <row r="361" spans="1:3" x14ac:dyDescent="0.25">
      <c r="A361">
        <v>360</v>
      </c>
      <c r="B361" t="s">
        <v>143</v>
      </c>
      <c r="C361" t="s">
        <v>499</v>
      </c>
    </row>
    <row r="362" spans="1:3" x14ac:dyDescent="0.25">
      <c r="A362">
        <v>361</v>
      </c>
      <c r="B362" t="s">
        <v>143</v>
      </c>
      <c r="C362" t="s">
        <v>500</v>
      </c>
    </row>
    <row r="363" spans="1:3" x14ac:dyDescent="0.25">
      <c r="A363">
        <v>362</v>
      </c>
      <c r="B363" t="s">
        <v>143</v>
      </c>
      <c r="C363" t="s">
        <v>501</v>
      </c>
    </row>
    <row r="364" spans="1:3" x14ac:dyDescent="0.25">
      <c r="A364">
        <v>363</v>
      </c>
      <c r="B364" t="s">
        <v>143</v>
      </c>
      <c r="C364" t="s">
        <v>502</v>
      </c>
    </row>
    <row r="365" spans="1:3" x14ac:dyDescent="0.25">
      <c r="A365">
        <v>364</v>
      </c>
      <c r="B365" t="s">
        <v>143</v>
      </c>
      <c r="C365" t="s">
        <v>503</v>
      </c>
    </row>
    <row r="366" spans="1:3" x14ac:dyDescent="0.25">
      <c r="A366">
        <v>365</v>
      </c>
      <c r="B366" t="s">
        <v>143</v>
      </c>
      <c r="C366" t="s">
        <v>504</v>
      </c>
    </row>
    <row r="367" spans="1:3" x14ac:dyDescent="0.25">
      <c r="A367">
        <v>366</v>
      </c>
      <c r="B367" t="s">
        <v>143</v>
      </c>
      <c r="C367" t="s">
        <v>505</v>
      </c>
    </row>
    <row r="368" spans="1:3" x14ac:dyDescent="0.25">
      <c r="A368">
        <v>367</v>
      </c>
      <c r="B368" t="s">
        <v>143</v>
      </c>
      <c r="C368" t="s">
        <v>506</v>
      </c>
    </row>
    <row r="369" spans="1:3" x14ac:dyDescent="0.25">
      <c r="A369">
        <v>368</v>
      </c>
      <c r="B369" t="s">
        <v>143</v>
      </c>
      <c r="C369" t="s">
        <v>507</v>
      </c>
    </row>
    <row r="370" spans="1:3" x14ac:dyDescent="0.25">
      <c r="A370">
        <v>369</v>
      </c>
      <c r="B370" t="s">
        <v>143</v>
      </c>
      <c r="C370" t="s">
        <v>508</v>
      </c>
    </row>
    <row r="371" spans="1:3" x14ac:dyDescent="0.25">
      <c r="A371">
        <v>370</v>
      </c>
      <c r="B371" t="s">
        <v>143</v>
      </c>
      <c r="C371" t="s">
        <v>509</v>
      </c>
    </row>
    <row r="372" spans="1:3" x14ac:dyDescent="0.25">
      <c r="A372">
        <v>371</v>
      </c>
      <c r="B372" t="s">
        <v>143</v>
      </c>
      <c r="C372" t="s">
        <v>510</v>
      </c>
    </row>
    <row r="373" spans="1:3" x14ac:dyDescent="0.25">
      <c r="A373">
        <v>372</v>
      </c>
      <c r="B373" t="s">
        <v>143</v>
      </c>
      <c r="C373" t="s">
        <v>511</v>
      </c>
    </row>
    <row r="374" spans="1:3" x14ac:dyDescent="0.25">
      <c r="A374">
        <v>373</v>
      </c>
      <c r="B374" t="s">
        <v>143</v>
      </c>
      <c r="C374" t="s">
        <v>512</v>
      </c>
    </row>
    <row r="375" spans="1:3" x14ac:dyDescent="0.25">
      <c r="A375">
        <v>374</v>
      </c>
      <c r="B375" t="s">
        <v>143</v>
      </c>
      <c r="C375" t="s">
        <v>513</v>
      </c>
    </row>
    <row r="376" spans="1:3" x14ac:dyDescent="0.25">
      <c r="A376">
        <v>375</v>
      </c>
      <c r="B376" t="s">
        <v>143</v>
      </c>
      <c r="C376" t="s">
        <v>514</v>
      </c>
    </row>
    <row r="377" spans="1:3" x14ac:dyDescent="0.25">
      <c r="A377">
        <v>376</v>
      </c>
      <c r="B377" t="s">
        <v>143</v>
      </c>
      <c r="C377" t="s">
        <v>515</v>
      </c>
    </row>
    <row r="378" spans="1:3" x14ac:dyDescent="0.25">
      <c r="A378">
        <v>377</v>
      </c>
      <c r="B378" t="s">
        <v>143</v>
      </c>
      <c r="C378" t="s">
        <v>516</v>
      </c>
    </row>
    <row r="379" spans="1:3" x14ac:dyDescent="0.25">
      <c r="A379">
        <v>378</v>
      </c>
      <c r="B379" t="s">
        <v>143</v>
      </c>
      <c r="C379" t="s">
        <v>517</v>
      </c>
    </row>
    <row r="380" spans="1:3" x14ac:dyDescent="0.25">
      <c r="A380">
        <v>379</v>
      </c>
      <c r="B380" t="s">
        <v>143</v>
      </c>
      <c r="C380" t="s">
        <v>518</v>
      </c>
    </row>
    <row r="381" spans="1:3" x14ac:dyDescent="0.25">
      <c r="A381">
        <v>380</v>
      </c>
      <c r="B381" t="s">
        <v>143</v>
      </c>
      <c r="C381" t="s">
        <v>519</v>
      </c>
    </row>
    <row r="382" spans="1:3" x14ac:dyDescent="0.25">
      <c r="A382">
        <v>381</v>
      </c>
      <c r="B382" t="s">
        <v>143</v>
      </c>
      <c r="C382" t="s">
        <v>520</v>
      </c>
    </row>
    <row r="383" spans="1:3" x14ac:dyDescent="0.25">
      <c r="A383">
        <v>382</v>
      </c>
      <c r="B383" t="s">
        <v>143</v>
      </c>
      <c r="C383" t="s">
        <v>521</v>
      </c>
    </row>
    <row r="384" spans="1:3" x14ac:dyDescent="0.25">
      <c r="A384">
        <v>383</v>
      </c>
      <c r="B384" t="s">
        <v>143</v>
      </c>
      <c r="C384" t="s">
        <v>522</v>
      </c>
    </row>
    <row r="385" spans="1:3" x14ac:dyDescent="0.25">
      <c r="A385">
        <v>384</v>
      </c>
      <c r="B385" t="s">
        <v>143</v>
      </c>
      <c r="C385" t="s">
        <v>523</v>
      </c>
    </row>
    <row r="386" spans="1:3" x14ac:dyDescent="0.25">
      <c r="A386">
        <v>385</v>
      </c>
      <c r="B386" t="s">
        <v>143</v>
      </c>
      <c r="C386" t="s">
        <v>524</v>
      </c>
    </row>
    <row r="387" spans="1:3" x14ac:dyDescent="0.25">
      <c r="A387">
        <v>386</v>
      </c>
      <c r="B387" t="s">
        <v>143</v>
      </c>
      <c r="C387" t="s">
        <v>525</v>
      </c>
    </row>
    <row r="388" spans="1:3" x14ac:dyDescent="0.25">
      <c r="A388">
        <v>387</v>
      </c>
      <c r="B388" t="s">
        <v>143</v>
      </c>
      <c r="C388" t="s">
        <v>526</v>
      </c>
    </row>
    <row r="389" spans="1:3" x14ac:dyDescent="0.25">
      <c r="A389">
        <v>388</v>
      </c>
      <c r="B389" t="s">
        <v>143</v>
      </c>
      <c r="C389" t="s">
        <v>527</v>
      </c>
    </row>
    <row r="390" spans="1:3" x14ac:dyDescent="0.25">
      <c r="A390">
        <v>389</v>
      </c>
      <c r="B390" t="s">
        <v>143</v>
      </c>
      <c r="C390" t="s">
        <v>528</v>
      </c>
    </row>
    <row r="391" spans="1:3" x14ac:dyDescent="0.25">
      <c r="A391">
        <v>390</v>
      </c>
      <c r="B391" t="s">
        <v>143</v>
      </c>
      <c r="C391" t="s">
        <v>529</v>
      </c>
    </row>
    <row r="392" spans="1:3" x14ac:dyDescent="0.25">
      <c r="A392">
        <v>391</v>
      </c>
      <c r="B392" t="s">
        <v>143</v>
      </c>
      <c r="C392" t="s">
        <v>530</v>
      </c>
    </row>
    <row r="393" spans="1:3" x14ac:dyDescent="0.25">
      <c r="A393">
        <v>392</v>
      </c>
      <c r="B393" t="s">
        <v>143</v>
      </c>
      <c r="C393" t="s">
        <v>531</v>
      </c>
    </row>
    <row r="394" spans="1:3" x14ac:dyDescent="0.25">
      <c r="A394">
        <v>393</v>
      </c>
      <c r="B394" t="s">
        <v>143</v>
      </c>
      <c r="C394" t="s">
        <v>532</v>
      </c>
    </row>
    <row r="395" spans="1:3" x14ac:dyDescent="0.25">
      <c r="A395">
        <v>394</v>
      </c>
      <c r="B395" t="s">
        <v>143</v>
      </c>
      <c r="C395" t="s">
        <v>533</v>
      </c>
    </row>
    <row r="396" spans="1:3" x14ac:dyDescent="0.25">
      <c r="A396">
        <v>395</v>
      </c>
      <c r="B396" t="s">
        <v>143</v>
      </c>
      <c r="C396" t="s">
        <v>534</v>
      </c>
    </row>
    <row r="397" spans="1:3" x14ac:dyDescent="0.25">
      <c r="A397">
        <v>396</v>
      </c>
      <c r="B397" t="s">
        <v>143</v>
      </c>
      <c r="C397" t="s">
        <v>535</v>
      </c>
    </row>
    <row r="398" spans="1:3" x14ac:dyDescent="0.25">
      <c r="A398">
        <v>397</v>
      </c>
      <c r="B398" t="s">
        <v>143</v>
      </c>
      <c r="C398" t="s">
        <v>536</v>
      </c>
    </row>
    <row r="399" spans="1:3" x14ac:dyDescent="0.25">
      <c r="A399">
        <v>398</v>
      </c>
      <c r="B399" t="s">
        <v>143</v>
      </c>
      <c r="C399" t="s">
        <v>537</v>
      </c>
    </row>
    <row r="400" spans="1:3" x14ac:dyDescent="0.25">
      <c r="A400">
        <v>399</v>
      </c>
      <c r="B400" t="s">
        <v>143</v>
      </c>
      <c r="C400" t="s">
        <v>538</v>
      </c>
    </row>
    <row r="401" spans="1:3" x14ac:dyDescent="0.25">
      <c r="A401">
        <v>400</v>
      </c>
      <c r="B401" t="s">
        <v>2813</v>
      </c>
      <c r="C401" t="s">
        <v>2819</v>
      </c>
    </row>
    <row r="402" spans="1:3" x14ac:dyDescent="0.25">
      <c r="A402">
        <v>401</v>
      </c>
      <c r="B402" t="s">
        <v>143</v>
      </c>
      <c r="C402" t="s">
        <v>540</v>
      </c>
    </row>
    <row r="403" spans="1:3" x14ac:dyDescent="0.25">
      <c r="A403">
        <v>402</v>
      </c>
      <c r="B403" t="s">
        <v>143</v>
      </c>
      <c r="C403" t="s">
        <v>541</v>
      </c>
    </row>
    <row r="404" spans="1:3" x14ac:dyDescent="0.25">
      <c r="A404">
        <v>403</v>
      </c>
      <c r="B404" t="s">
        <v>143</v>
      </c>
      <c r="C404" t="s">
        <v>542</v>
      </c>
    </row>
    <row r="405" spans="1:3" x14ac:dyDescent="0.25">
      <c r="A405">
        <v>404</v>
      </c>
      <c r="B405" t="s">
        <v>143</v>
      </c>
      <c r="C405" t="s">
        <v>543</v>
      </c>
    </row>
    <row r="406" spans="1:3" x14ac:dyDescent="0.25">
      <c r="A406">
        <v>405</v>
      </c>
      <c r="B406" t="s">
        <v>143</v>
      </c>
      <c r="C406" t="s">
        <v>544</v>
      </c>
    </row>
    <row r="407" spans="1:3" x14ac:dyDescent="0.25">
      <c r="A407">
        <v>406</v>
      </c>
      <c r="B407" t="s">
        <v>143</v>
      </c>
      <c r="C407" t="s">
        <v>545</v>
      </c>
    </row>
    <row r="408" spans="1:3" x14ac:dyDescent="0.25">
      <c r="A408">
        <v>407</v>
      </c>
      <c r="B408" t="s">
        <v>143</v>
      </c>
      <c r="C408" t="s">
        <v>546</v>
      </c>
    </row>
    <row r="409" spans="1:3" x14ac:dyDescent="0.25">
      <c r="A409">
        <v>408</v>
      </c>
      <c r="B409" t="s">
        <v>143</v>
      </c>
      <c r="C409" t="s">
        <v>547</v>
      </c>
    </row>
    <row r="410" spans="1:3" x14ac:dyDescent="0.25">
      <c r="A410">
        <v>409</v>
      </c>
      <c r="B410" t="s">
        <v>143</v>
      </c>
      <c r="C410" t="s">
        <v>548</v>
      </c>
    </row>
    <row r="411" spans="1:3" x14ac:dyDescent="0.25">
      <c r="A411">
        <v>410</v>
      </c>
      <c r="B411" t="s">
        <v>143</v>
      </c>
      <c r="C411" t="s">
        <v>549</v>
      </c>
    </row>
    <row r="412" spans="1:3" x14ac:dyDescent="0.25">
      <c r="A412">
        <v>411</v>
      </c>
      <c r="B412" t="s">
        <v>143</v>
      </c>
      <c r="C412" t="s">
        <v>550</v>
      </c>
    </row>
    <row r="413" spans="1:3" x14ac:dyDescent="0.25">
      <c r="A413">
        <v>412</v>
      </c>
      <c r="B413" t="s">
        <v>143</v>
      </c>
      <c r="C413" t="s">
        <v>551</v>
      </c>
    </row>
    <row r="414" spans="1:3" x14ac:dyDescent="0.25">
      <c r="A414">
        <v>413</v>
      </c>
      <c r="B414" t="s">
        <v>143</v>
      </c>
      <c r="C414" t="s">
        <v>552</v>
      </c>
    </row>
    <row r="415" spans="1:3" x14ac:dyDescent="0.25">
      <c r="A415">
        <v>414</v>
      </c>
      <c r="B415" t="s">
        <v>143</v>
      </c>
      <c r="C415" t="s">
        <v>553</v>
      </c>
    </row>
    <row r="416" spans="1:3" x14ac:dyDescent="0.25">
      <c r="A416">
        <v>415</v>
      </c>
      <c r="B416" t="s">
        <v>143</v>
      </c>
      <c r="C416" t="s">
        <v>554</v>
      </c>
    </row>
    <row r="417" spans="1:3" x14ac:dyDescent="0.25">
      <c r="A417">
        <v>416</v>
      </c>
      <c r="B417" t="s">
        <v>143</v>
      </c>
      <c r="C417" t="s">
        <v>555</v>
      </c>
    </row>
    <row r="418" spans="1:3" x14ac:dyDescent="0.25">
      <c r="A418">
        <v>417</v>
      </c>
      <c r="B418" t="s">
        <v>143</v>
      </c>
      <c r="C418" t="s">
        <v>556</v>
      </c>
    </row>
    <row r="419" spans="1:3" x14ac:dyDescent="0.25">
      <c r="A419">
        <v>418</v>
      </c>
      <c r="B419" t="s">
        <v>143</v>
      </c>
      <c r="C419" t="s">
        <v>557</v>
      </c>
    </row>
    <row r="420" spans="1:3" x14ac:dyDescent="0.25">
      <c r="A420">
        <v>419</v>
      </c>
      <c r="B420" t="s">
        <v>143</v>
      </c>
      <c r="C420" t="s">
        <v>558</v>
      </c>
    </row>
    <row r="421" spans="1:3" x14ac:dyDescent="0.25">
      <c r="A421">
        <v>420</v>
      </c>
      <c r="B421" t="s">
        <v>143</v>
      </c>
      <c r="C421" t="s">
        <v>559</v>
      </c>
    </row>
    <row r="422" spans="1:3" x14ac:dyDescent="0.25">
      <c r="A422">
        <v>421</v>
      </c>
      <c r="B422" t="s">
        <v>143</v>
      </c>
      <c r="C422" t="s">
        <v>560</v>
      </c>
    </row>
    <row r="423" spans="1:3" x14ac:dyDescent="0.25">
      <c r="A423">
        <v>422</v>
      </c>
      <c r="B423" t="s">
        <v>143</v>
      </c>
      <c r="C423" t="s">
        <v>561</v>
      </c>
    </row>
    <row r="424" spans="1:3" x14ac:dyDescent="0.25">
      <c r="A424">
        <v>423</v>
      </c>
      <c r="B424" t="s">
        <v>143</v>
      </c>
      <c r="C424" t="s">
        <v>562</v>
      </c>
    </row>
    <row r="425" spans="1:3" x14ac:dyDescent="0.25">
      <c r="A425">
        <v>424</v>
      </c>
      <c r="B425" t="s">
        <v>143</v>
      </c>
      <c r="C425" t="s">
        <v>563</v>
      </c>
    </row>
    <row r="426" spans="1:3" x14ac:dyDescent="0.25">
      <c r="A426">
        <v>425</v>
      </c>
      <c r="B426" t="s">
        <v>143</v>
      </c>
      <c r="C426" t="s">
        <v>564</v>
      </c>
    </row>
    <row r="427" spans="1:3" x14ac:dyDescent="0.25">
      <c r="A427">
        <v>426</v>
      </c>
      <c r="B427" t="s">
        <v>143</v>
      </c>
      <c r="C427" t="s">
        <v>565</v>
      </c>
    </row>
    <row r="428" spans="1:3" x14ac:dyDescent="0.25">
      <c r="A428">
        <v>427</v>
      </c>
      <c r="B428" t="s">
        <v>143</v>
      </c>
      <c r="C428" t="s">
        <v>566</v>
      </c>
    </row>
    <row r="429" spans="1:3" x14ac:dyDescent="0.25">
      <c r="A429">
        <v>428</v>
      </c>
      <c r="B429" t="s">
        <v>2827</v>
      </c>
      <c r="C429" t="s">
        <v>2829</v>
      </c>
    </row>
    <row r="430" spans="1:3" x14ac:dyDescent="0.25">
      <c r="A430">
        <v>429</v>
      </c>
      <c r="B430" t="s">
        <v>143</v>
      </c>
      <c r="C430" t="s">
        <v>568</v>
      </c>
    </row>
    <row r="431" spans="1:3" x14ac:dyDescent="0.25">
      <c r="A431">
        <v>430</v>
      </c>
      <c r="B431" t="s">
        <v>143</v>
      </c>
      <c r="C431" t="s">
        <v>569</v>
      </c>
    </row>
    <row r="432" spans="1:3" x14ac:dyDescent="0.25">
      <c r="A432">
        <v>431</v>
      </c>
      <c r="B432" t="s">
        <v>143</v>
      </c>
      <c r="C432" t="s">
        <v>570</v>
      </c>
    </row>
    <row r="433" spans="1:3" x14ac:dyDescent="0.25">
      <c r="A433">
        <v>432</v>
      </c>
      <c r="B433" t="s">
        <v>143</v>
      </c>
      <c r="C433" t="s">
        <v>571</v>
      </c>
    </row>
    <row r="434" spans="1:3" x14ac:dyDescent="0.25">
      <c r="A434">
        <v>433</v>
      </c>
      <c r="B434" t="s">
        <v>143</v>
      </c>
      <c r="C434" t="s">
        <v>572</v>
      </c>
    </row>
    <row r="435" spans="1:3" x14ac:dyDescent="0.25">
      <c r="A435">
        <v>434</v>
      </c>
      <c r="B435" t="s">
        <v>143</v>
      </c>
      <c r="C435" t="s">
        <v>573</v>
      </c>
    </row>
    <row r="436" spans="1:3" x14ac:dyDescent="0.25">
      <c r="A436">
        <v>435</v>
      </c>
      <c r="B436" t="s">
        <v>143</v>
      </c>
      <c r="C436" t="s">
        <v>574</v>
      </c>
    </row>
    <row r="437" spans="1:3" x14ac:dyDescent="0.25">
      <c r="A437">
        <v>436</v>
      </c>
      <c r="B437" t="s">
        <v>143</v>
      </c>
      <c r="C437" t="s">
        <v>575</v>
      </c>
    </row>
    <row r="438" spans="1:3" x14ac:dyDescent="0.25">
      <c r="A438">
        <v>437</v>
      </c>
      <c r="B438" t="s">
        <v>143</v>
      </c>
      <c r="C438" t="s">
        <v>576</v>
      </c>
    </row>
    <row r="439" spans="1:3" x14ac:dyDescent="0.25">
      <c r="A439">
        <v>438</v>
      </c>
      <c r="B439" t="s">
        <v>143</v>
      </c>
      <c r="C439" t="s">
        <v>577</v>
      </c>
    </row>
    <row r="440" spans="1:3" x14ac:dyDescent="0.25">
      <c r="A440">
        <v>439</v>
      </c>
      <c r="B440" t="s">
        <v>143</v>
      </c>
      <c r="C440" t="s">
        <v>578</v>
      </c>
    </row>
    <row r="441" spans="1:3" x14ac:dyDescent="0.25">
      <c r="A441">
        <v>440</v>
      </c>
      <c r="B441" t="s">
        <v>143</v>
      </c>
      <c r="C441" t="s">
        <v>579</v>
      </c>
    </row>
    <row r="442" spans="1:3" x14ac:dyDescent="0.25">
      <c r="A442">
        <v>441</v>
      </c>
      <c r="B442" t="s">
        <v>143</v>
      </c>
      <c r="C442" t="s">
        <v>580</v>
      </c>
    </row>
    <row r="443" spans="1:3" x14ac:dyDescent="0.25">
      <c r="A443">
        <v>442</v>
      </c>
      <c r="B443" t="s">
        <v>143</v>
      </c>
      <c r="C443" t="s">
        <v>581</v>
      </c>
    </row>
    <row r="444" spans="1:3" x14ac:dyDescent="0.25">
      <c r="A444">
        <v>443</v>
      </c>
      <c r="B444" t="s">
        <v>143</v>
      </c>
      <c r="C444" t="s">
        <v>582</v>
      </c>
    </row>
    <row r="445" spans="1:3" x14ac:dyDescent="0.25">
      <c r="A445">
        <v>444</v>
      </c>
      <c r="B445" t="s">
        <v>143</v>
      </c>
      <c r="C445" t="s">
        <v>583</v>
      </c>
    </row>
    <row r="446" spans="1:3" x14ac:dyDescent="0.25">
      <c r="A446">
        <v>445</v>
      </c>
      <c r="B446" t="s">
        <v>143</v>
      </c>
      <c r="C446" t="s">
        <v>584</v>
      </c>
    </row>
    <row r="447" spans="1:3" x14ac:dyDescent="0.25">
      <c r="A447">
        <v>446</v>
      </c>
      <c r="B447" t="s">
        <v>143</v>
      </c>
      <c r="C447" t="s">
        <v>585</v>
      </c>
    </row>
    <row r="448" spans="1:3" x14ac:dyDescent="0.25">
      <c r="A448">
        <v>447</v>
      </c>
      <c r="B448" t="s">
        <v>143</v>
      </c>
      <c r="C448" t="s">
        <v>586</v>
      </c>
    </row>
    <row r="449" spans="1:3" x14ac:dyDescent="0.25">
      <c r="A449">
        <v>448</v>
      </c>
      <c r="B449" t="s">
        <v>143</v>
      </c>
      <c r="C449" t="s">
        <v>587</v>
      </c>
    </row>
    <row r="450" spans="1:3" x14ac:dyDescent="0.25">
      <c r="A450">
        <v>449</v>
      </c>
      <c r="B450" t="s">
        <v>143</v>
      </c>
      <c r="C450" t="s">
        <v>588</v>
      </c>
    </row>
    <row r="451" spans="1:3" x14ac:dyDescent="0.25">
      <c r="A451">
        <v>450</v>
      </c>
      <c r="B451" t="s">
        <v>143</v>
      </c>
      <c r="C451" t="s">
        <v>589</v>
      </c>
    </row>
    <row r="452" spans="1:3" x14ac:dyDescent="0.25">
      <c r="A452">
        <v>451</v>
      </c>
      <c r="B452" t="s">
        <v>143</v>
      </c>
      <c r="C452" t="s">
        <v>590</v>
      </c>
    </row>
    <row r="453" spans="1:3" x14ac:dyDescent="0.25">
      <c r="A453">
        <v>452</v>
      </c>
      <c r="B453" t="s">
        <v>143</v>
      </c>
      <c r="C453" t="s">
        <v>591</v>
      </c>
    </row>
    <row r="454" spans="1:3" x14ac:dyDescent="0.25">
      <c r="A454">
        <v>453</v>
      </c>
      <c r="B454" t="s">
        <v>143</v>
      </c>
      <c r="C454" t="s">
        <v>592</v>
      </c>
    </row>
    <row r="455" spans="1:3" x14ac:dyDescent="0.25">
      <c r="A455">
        <v>454</v>
      </c>
      <c r="B455" t="s">
        <v>143</v>
      </c>
      <c r="C455" t="s">
        <v>593</v>
      </c>
    </row>
    <row r="456" spans="1:3" x14ac:dyDescent="0.25">
      <c r="A456">
        <v>455</v>
      </c>
      <c r="B456" t="s">
        <v>143</v>
      </c>
      <c r="C456" t="s">
        <v>594</v>
      </c>
    </row>
    <row r="457" spans="1:3" x14ac:dyDescent="0.25">
      <c r="A457">
        <v>456</v>
      </c>
      <c r="B457" t="s">
        <v>143</v>
      </c>
      <c r="C457" t="s">
        <v>595</v>
      </c>
    </row>
    <row r="458" spans="1:3" x14ac:dyDescent="0.25">
      <c r="A458">
        <v>457</v>
      </c>
      <c r="B458" t="s">
        <v>143</v>
      </c>
      <c r="C458" t="s">
        <v>596</v>
      </c>
    </row>
    <row r="459" spans="1:3" x14ac:dyDescent="0.25">
      <c r="A459">
        <v>458</v>
      </c>
      <c r="B459" t="s">
        <v>143</v>
      </c>
      <c r="C459" t="s">
        <v>597</v>
      </c>
    </row>
    <row r="460" spans="1:3" x14ac:dyDescent="0.25">
      <c r="A460">
        <v>459</v>
      </c>
      <c r="B460" t="s">
        <v>143</v>
      </c>
      <c r="C460" t="s">
        <v>598</v>
      </c>
    </row>
    <row r="461" spans="1:3" x14ac:dyDescent="0.25">
      <c r="A461">
        <v>460</v>
      </c>
      <c r="B461" t="s">
        <v>143</v>
      </c>
      <c r="C461" t="s">
        <v>599</v>
      </c>
    </row>
    <row r="462" spans="1:3" x14ac:dyDescent="0.25">
      <c r="A462">
        <v>461</v>
      </c>
      <c r="B462" t="s">
        <v>143</v>
      </c>
      <c r="C462" t="s">
        <v>600</v>
      </c>
    </row>
    <row r="463" spans="1:3" x14ac:dyDescent="0.25">
      <c r="A463">
        <v>462</v>
      </c>
      <c r="B463" t="s">
        <v>143</v>
      </c>
      <c r="C463" t="s">
        <v>601</v>
      </c>
    </row>
    <row r="464" spans="1:3" x14ac:dyDescent="0.25">
      <c r="A464">
        <v>463</v>
      </c>
      <c r="B464" t="s">
        <v>143</v>
      </c>
      <c r="C464" t="s">
        <v>602</v>
      </c>
    </row>
    <row r="465" spans="1:3" x14ac:dyDescent="0.25">
      <c r="A465">
        <v>464</v>
      </c>
      <c r="B465" t="s">
        <v>143</v>
      </c>
      <c r="C465" t="s">
        <v>603</v>
      </c>
    </row>
    <row r="466" spans="1:3" x14ac:dyDescent="0.25">
      <c r="A466">
        <v>465</v>
      </c>
      <c r="B466" t="s">
        <v>143</v>
      </c>
      <c r="C466" t="s">
        <v>604</v>
      </c>
    </row>
    <row r="467" spans="1:3" x14ac:dyDescent="0.25">
      <c r="A467">
        <v>466</v>
      </c>
      <c r="B467" t="s">
        <v>143</v>
      </c>
      <c r="C467" t="s">
        <v>605</v>
      </c>
    </row>
    <row r="468" spans="1:3" x14ac:dyDescent="0.25">
      <c r="A468">
        <v>467</v>
      </c>
      <c r="B468" t="s">
        <v>143</v>
      </c>
      <c r="C468" t="s">
        <v>606</v>
      </c>
    </row>
    <row r="469" spans="1:3" x14ac:dyDescent="0.25">
      <c r="A469">
        <v>468</v>
      </c>
      <c r="B469" t="s">
        <v>143</v>
      </c>
      <c r="C469" t="s">
        <v>607</v>
      </c>
    </row>
    <row r="470" spans="1:3" x14ac:dyDescent="0.25">
      <c r="A470">
        <v>469</v>
      </c>
      <c r="B470" t="s">
        <v>143</v>
      </c>
      <c r="C470" t="s">
        <v>608</v>
      </c>
    </row>
    <row r="471" spans="1:3" x14ac:dyDescent="0.25">
      <c r="A471">
        <v>470</v>
      </c>
      <c r="B471" t="s">
        <v>143</v>
      </c>
      <c r="C471" t="s">
        <v>609</v>
      </c>
    </row>
    <row r="472" spans="1:3" x14ac:dyDescent="0.25">
      <c r="A472">
        <v>471</v>
      </c>
      <c r="B472" t="s">
        <v>143</v>
      </c>
      <c r="C472" t="s">
        <v>610</v>
      </c>
    </row>
    <row r="473" spans="1:3" x14ac:dyDescent="0.25">
      <c r="A473">
        <v>472</v>
      </c>
      <c r="B473" t="s">
        <v>143</v>
      </c>
      <c r="C473" t="s">
        <v>611</v>
      </c>
    </row>
    <row r="474" spans="1:3" x14ac:dyDescent="0.25">
      <c r="A474">
        <v>473</v>
      </c>
      <c r="B474" t="s">
        <v>143</v>
      </c>
      <c r="C474" t="s">
        <v>612</v>
      </c>
    </row>
    <row r="475" spans="1:3" x14ac:dyDescent="0.25">
      <c r="A475">
        <v>474</v>
      </c>
      <c r="B475" t="s">
        <v>143</v>
      </c>
      <c r="C475" t="s">
        <v>613</v>
      </c>
    </row>
    <row r="476" spans="1:3" x14ac:dyDescent="0.25">
      <c r="A476">
        <v>475</v>
      </c>
      <c r="B476" t="s">
        <v>143</v>
      </c>
      <c r="C476" t="s">
        <v>614</v>
      </c>
    </row>
    <row r="477" spans="1:3" x14ac:dyDescent="0.25">
      <c r="A477">
        <v>476</v>
      </c>
      <c r="B477" t="s">
        <v>143</v>
      </c>
      <c r="C477" t="s">
        <v>615</v>
      </c>
    </row>
    <row r="478" spans="1:3" x14ac:dyDescent="0.25">
      <c r="A478">
        <v>477</v>
      </c>
      <c r="B478" t="s">
        <v>143</v>
      </c>
      <c r="C478" t="s">
        <v>616</v>
      </c>
    </row>
    <row r="479" spans="1:3" x14ac:dyDescent="0.25">
      <c r="A479">
        <v>478</v>
      </c>
      <c r="B479" t="s">
        <v>143</v>
      </c>
      <c r="C479" t="s">
        <v>617</v>
      </c>
    </row>
    <row r="480" spans="1:3" x14ac:dyDescent="0.25">
      <c r="A480">
        <v>479</v>
      </c>
      <c r="B480" t="s">
        <v>143</v>
      </c>
      <c r="C480" t="s">
        <v>618</v>
      </c>
    </row>
    <row r="481" spans="1:3" x14ac:dyDescent="0.25">
      <c r="A481">
        <v>480</v>
      </c>
      <c r="B481" t="s">
        <v>143</v>
      </c>
      <c r="C481" t="s">
        <v>619</v>
      </c>
    </row>
    <row r="482" spans="1:3" x14ac:dyDescent="0.25">
      <c r="A482">
        <v>481</v>
      </c>
      <c r="B482" t="s">
        <v>143</v>
      </c>
      <c r="C482" t="s">
        <v>620</v>
      </c>
    </row>
    <row r="483" spans="1:3" x14ac:dyDescent="0.25">
      <c r="A483">
        <v>482</v>
      </c>
      <c r="B483" t="s">
        <v>143</v>
      </c>
      <c r="C483" t="s">
        <v>621</v>
      </c>
    </row>
    <row r="484" spans="1:3" x14ac:dyDescent="0.25">
      <c r="A484">
        <v>483</v>
      </c>
      <c r="B484" t="s">
        <v>143</v>
      </c>
      <c r="C484" t="s">
        <v>622</v>
      </c>
    </row>
    <row r="485" spans="1:3" x14ac:dyDescent="0.25">
      <c r="A485">
        <v>484</v>
      </c>
      <c r="B485" t="s">
        <v>143</v>
      </c>
      <c r="C485" t="s">
        <v>623</v>
      </c>
    </row>
    <row r="486" spans="1:3" x14ac:dyDescent="0.25">
      <c r="A486">
        <v>485</v>
      </c>
      <c r="B486" t="s">
        <v>143</v>
      </c>
      <c r="C486" t="s">
        <v>624</v>
      </c>
    </row>
    <row r="487" spans="1:3" x14ac:dyDescent="0.25">
      <c r="A487">
        <v>486</v>
      </c>
      <c r="B487" t="s">
        <v>143</v>
      </c>
      <c r="C487" t="s">
        <v>625</v>
      </c>
    </row>
    <row r="488" spans="1:3" x14ac:dyDescent="0.25">
      <c r="A488">
        <v>487</v>
      </c>
      <c r="B488" t="s">
        <v>143</v>
      </c>
      <c r="C488" t="s">
        <v>626</v>
      </c>
    </row>
    <row r="489" spans="1:3" x14ac:dyDescent="0.25">
      <c r="A489">
        <v>488</v>
      </c>
      <c r="B489" t="s">
        <v>143</v>
      </c>
      <c r="C489" t="s">
        <v>627</v>
      </c>
    </row>
    <row r="490" spans="1:3" x14ac:dyDescent="0.25">
      <c r="A490">
        <v>489</v>
      </c>
      <c r="B490" t="s">
        <v>143</v>
      </c>
      <c r="C490" t="s">
        <v>628</v>
      </c>
    </row>
    <row r="491" spans="1:3" x14ac:dyDescent="0.25">
      <c r="A491">
        <v>490</v>
      </c>
      <c r="B491" t="s">
        <v>143</v>
      </c>
      <c r="C491" t="s">
        <v>629</v>
      </c>
    </row>
    <row r="492" spans="1:3" x14ac:dyDescent="0.25">
      <c r="A492">
        <v>491</v>
      </c>
      <c r="B492" t="s">
        <v>143</v>
      </c>
      <c r="C492" t="s">
        <v>630</v>
      </c>
    </row>
    <row r="493" spans="1:3" x14ac:dyDescent="0.25">
      <c r="A493">
        <v>492</v>
      </c>
      <c r="B493" t="s">
        <v>143</v>
      </c>
      <c r="C493" t="s">
        <v>631</v>
      </c>
    </row>
    <row r="494" spans="1:3" x14ac:dyDescent="0.25">
      <c r="A494">
        <v>493</v>
      </c>
      <c r="B494" t="s">
        <v>143</v>
      </c>
      <c r="C494" t="s">
        <v>632</v>
      </c>
    </row>
    <row r="495" spans="1:3" x14ac:dyDescent="0.25">
      <c r="A495">
        <v>494</v>
      </c>
      <c r="B495" t="s">
        <v>143</v>
      </c>
      <c r="C495" t="s">
        <v>633</v>
      </c>
    </row>
    <row r="496" spans="1:3" x14ac:dyDescent="0.25">
      <c r="A496">
        <v>495</v>
      </c>
      <c r="B496" t="s">
        <v>143</v>
      </c>
      <c r="C496" t="s">
        <v>634</v>
      </c>
    </row>
    <row r="497" spans="1:3" x14ac:dyDescent="0.25">
      <c r="A497">
        <v>496</v>
      </c>
      <c r="B497" t="s">
        <v>143</v>
      </c>
      <c r="C497" t="s">
        <v>635</v>
      </c>
    </row>
    <row r="498" spans="1:3" x14ac:dyDescent="0.25">
      <c r="A498">
        <v>497</v>
      </c>
      <c r="B498" t="s">
        <v>143</v>
      </c>
      <c r="C498" t="s">
        <v>636</v>
      </c>
    </row>
    <row r="499" spans="1:3" x14ac:dyDescent="0.25">
      <c r="A499">
        <v>498</v>
      </c>
      <c r="B499" t="s">
        <v>143</v>
      </c>
      <c r="C499" t="s">
        <v>637</v>
      </c>
    </row>
    <row r="500" spans="1:3" x14ac:dyDescent="0.25">
      <c r="A500">
        <v>499</v>
      </c>
      <c r="B500" t="s">
        <v>143</v>
      </c>
      <c r="C500" t="s">
        <v>638</v>
      </c>
    </row>
    <row r="501" spans="1:3" x14ac:dyDescent="0.25">
      <c r="A501">
        <v>500</v>
      </c>
      <c r="B501" t="s">
        <v>143</v>
      </c>
      <c r="C501" t="s">
        <v>639</v>
      </c>
    </row>
    <row r="502" spans="1:3" x14ac:dyDescent="0.25">
      <c r="A502">
        <v>501</v>
      </c>
      <c r="B502" t="s">
        <v>143</v>
      </c>
      <c r="C502" t="s">
        <v>640</v>
      </c>
    </row>
    <row r="503" spans="1:3" x14ac:dyDescent="0.25">
      <c r="A503">
        <v>502</v>
      </c>
      <c r="B503" t="s">
        <v>143</v>
      </c>
      <c r="C503" t="s">
        <v>641</v>
      </c>
    </row>
    <row r="504" spans="1:3" x14ac:dyDescent="0.25">
      <c r="A504">
        <v>503</v>
      </c>
      <c r="B504" t="s">
        <v>143</v>
      </c>
      <c r="C504" t="s">
        <v>642</v>
      </c>
    </row>
    <row r="505" spans="1:3" x14ac:dyDescent="0.25">
      <c r="A505">
        <v>504</v>
      </c>
      <c r="B505" t="s">
        <v>143</v>
      </c>
      <c r="C505" t="s">
        <v>643</v>
      </c>
    </row>
    <row r="506" spans="1:3" x14ac:dyDescent="0.25">
      <c r="A506">
        <v>505</v>
      </c>
      <c r="B506" t="s">
        <v>143</v>
      </c>
      <c r="C506" t="s">
        <v>644</v>
      </c>
    </row>
    <row r="507" spans="1:3" x14ac:dyDescent="0.25">
      <c r="A507">
        <v>506</v>
      </c>
      <c r="B507" t="s">
        <v>143</v>
      </c>
      <c r="C507" t="s">
        <v>645</v>
      </c>
    </row>
    <row r="508" spans="1:3" x14ac:dyDescent="0.25">
      <c r="A508">
        <v>507</v>
      </c>
      <c r="B508" t="s">
        <v>143</v>
      </c>
      <c r="C508" t="s">
        <v>646</v>
      </c>
    </row>
    <row r="509" spans="1:3" x14ac:dyDescent="0.25">
      <c r="A509">
        <v>508</v>
      </c>
      <c r="B509" t="s">
        <v>143</v>
      </c>
      <c r="C509" t="s">
        <v>647</v>
      </c>
    </row>
    <row r="510" spans="1:3" x14ac:dyDescent="0.25">
      <c r="A510">
        <v>509</v>
      </c>
      <c r="B510" t="s">
        <v>143</v>
      </c>
      <c r="C510" t="s">
        <v>648</v>
      </c>
    </row>
    <row r="511" spans="1:3" x14ac:dyDescent="0.25">
      <c r="A511">
        <v>510</v>
      </c>
      <c r="B511" t="s">
        <v>143</v>
      </c>
      <c r="C511" t="s">
        <v>649</v>
      </c>
    </row>
    <row r="512" spans="1:3" x14ac:dyDescent="0.25">
      <c r="A512">
        <v>511</v>
      </c>
      <c r="B512" t="s">
        <v>143</v>
      </c>
      <c r="C512" t="s">
        <v>650</v>
      </c>
    </row>
    <row r="553" spans="2:3" x14ac:dyDescent="0.25">
      <c r="B553" t="s">
        <v>2014</v>
      </c>
      <c r="C553" t="s">
        <v>2044</v>
      </c>
    </row>
  </sheetData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2"/>
  <dimension ref="A1:C32"/>
  <sheetViews>
    <sheetView workbookViewId="0">
      <selection sqref="A1:C16"/>
    </sheetView>
  </sheetViews>
  <sheetFormatPr defaultRowHeight="15" x14ac:dyDescent="0.25"/>
  <cols>
    <col min="2" max="2" width="49.5703125" bestFit="1" customWidth="1"/>
    <col min="3" max="3" width="35.28515625" bestFit="1" customWidth="1"/>
  </cols>
  <sheetData>
    <row r="1" spans="1:3" x14ac:dyDescent="0.25">
      <c r="A1">
        <v>0</v>
      </c>
      <c r="B1" t="s">
        <v>660</v>
      </c>
      <c r="C1" t="s">
        <v>1193</v>
      </c>
    </row>
    <row r="2" spans="1:3" x14ac:dyDescent="0.25">
      <c r="A2">
        <v>1</v>
      </c>
      <c r="B2" t="s">
        <v>661</v>
      </c>
      <c r="C2" t="s">
        <v>662</v>
      </c>
    </row>
    <row r="3" spans="1:3" x14ac:dyDescent="0.25">
      <c r="A3">
        <v>2</v>
      </c>
      <c r="B3" t="s">
        <v>663</v>
      </c>
      <c r="C3" t="s">
        <v>664</v>
      </c>
    </row>
    <row r="4" spans="1:3" x14ac:dyDescent="0.25">
      <c r="A4">
        <v>3</v>
      </c>
      <c r="B4" t="s">
        <v>665</v>
      </c>
      <c r="C4" t="s">
        <v>666</v>
      </c>
    </row>
    <row r="5" spans="1:3" x14ac:dyDescent="0.25">
      <c r="A5">
        <v>4</v>
      </c>
      <c r="B5" t="s">
        <v>667</v>
      </c>
      <c r="C5" t="s">
        <v>668</v>
      </c>
    </row>
    <row r="6" spans="1:3" x14ac:dyDescent="0.25">
      <c r="A6">
        <v>5</v>
      </c>
      <c r="B6" t="s">
        <v>669</v>
      </c>
      <c r="C6" t="s">
        <v>670</v>
      </c>
    </row>
    <row r="7" spans="1:3" x14ac:dyDescent="0.25">
      <c r="A7">
        <v>6</v>
      </c>
      <c r="B7" t="s">
        <v>671</v>
      </c>
      <c r="C7" t="s">
        <v>672</v>
      </c>
    </row>
    <row r="8" spans="1:3" x14ac:dyDescent="0.25">
      <c r="A8">
        <v>7</v>
      </c>
      <c r="B8" t="s">
        <v>143</v>
      </c>
      <c r="C8" t="s">
        <v>151</v>
      </c>
    </row>
    <row r="9" spans="1:3" x14ac:dyDescent="0.25">
      <c r="A9">
        <v>8</v>
      </c>
      <c r="B9" t="s">
        <v>143</v>
      </c>
      <c r="C9" t="s">
        <v>152</v>
      </c>
    </row>
    <row r="10" spans="1:3" x14ac:dyDescent="0.25">
      <c r="A10">
        <v>9</v>
      </c>
      <c r="B10" t="s">
        <v>143</v>
      </c>
      <c r="C10" t="s">
        <v>153</v>
      </c>
    </row>
    <row r="11" spans="1:3" x14ac:dyDescent="0.25">
      <c r="A11">
        <v>10</v>
      </c>
      <c r="B11" t="s">
        <v>143</v>
      </c>
      <c r="C11" t="s">
        <v>154</v>
      </c>
    </row>
    <row r="12" spans="1:3" x14ac:dyDescent="0.25">
      <c r="A12">
        <v>11</v>
      </c>
      <c r="B12" t="s">
        <v>673</v>
      </c>
      <c r="C12" t="s">
        <v>674</v>
      </c>
    </row>
    <row r="13" spans="1:3" x14ac:dyDescent="0.25">
      <c r="A13">
        <v>12</v>
      </c>
      <c r="B13" t="s">
        <v>675</v>
      </c>
      <c r="C13" t="s">
        <v>676</v>
      </c>
    </row>
    <row r="14" spans="1:3" x14ac:dyDescent="0.25">
      <c r="A14">
        <v>13</v>
      </c>
      <c r="B14" t="s">
        <v>143</v>
      </c>
      <c r="C14" t="s">
        <v>157</v>
      </c>
    </row>
    <row r="15" spans="1:3" x14ac:dyDescent="0.25">
      <c r="A15">
        <v>14</v>
      </c>
      <c r="B15" t="s">
        <v>677</v>
      </c>
      <c r="C15" t="s">
        <v>158</v>
      </c>
    </row>
    <row r="16" spans="1:3" x14ac:dyDescent="0.25">
      <c r="A16">
        <v>15</v>
      </c>
      <c r="B16" t="s">
        <v>893</v>
      </c>
      <c r="C16" t="s">
        <v>894</v>
      </c>
    </row>
    <row r="17" spans="1:3" x14ac:dyDescent="0.25">
      <c r="A17">
        <v>16</v>
      </c>
      <c r="B17" t="s">
        <v>2005</v>
      </c>
      <c r="C17" t="s">
        <v>1194</v>
      </c>
    </row>
    <row r="18" spans="1:3" x14ac:dyDescent="0.25">
      <c r="A18">
        <v>17</v>
      </c>
      <c r="B18" t="s">
        <v>2006</v>
      </c>
      <c r="C18" t="s">
        <v>1990</v>
      </c>
    </row>
    <row r="19" spans="1:3" x14ac:dyDescent="0.25">
      <c r="A19">
        <v>18</v>
      </c>
      <c r="B19" t="s">
        <v>2007</v>
      </c>
      <c r="C19" t="s">
        <v>1991</v>
      </c>
    </row>
    <row r="20" spans="1:3" x14ac:dyDescent="0.25">
      <c r="A20">
        <v>19</v>
      </c>
      <c r="B20" t="s">
        <v>2008</v>
      </c>
      <c r="C20" t="s">
        <v>1992</v>
      </c>
    </row>
    <row r="21" spans="1:3" x14ac:dyDescent="0.25">
      <c r="A21">
        <v>20</v>
      </c>
      <c r="B21" t="s">
        <v>2009</v>
      </c>
      <c r="C21" t="s">
        <v>1993</v>
      </c>
    </row>
    <row r="22" spans="1:3" x14ac:dyDescent="0.25">
      <c r="A22">
        <v>21</v>
      </c>
      <c r="B22" t="s">
        <v>2010</v>
      </c>
      <c r="C22" t="s">
        <v>1994</v>
      </c>
    </row>
    <row r="23" spans="1:3" x14ac:dyDescent="0.25">
      <c r="A23">
        <v>22</v>
      </c>
      <c r="B23" t="s">
        <v>2011</v>
      </c>
      <c r="C23" t="s">
        <v>1995</v>
      </c>
    </row>
    <row r="24" spans="1:3" x14ac:dyDescent="0.25">
      <c r="A24">
        <v>23</v>
      </c>
      <c r="B24" t="s">
        <v>2012</v>
      </c>
      <c r="C24" t="s">
        <v>1996</v>
      </c>
    </row>
    <row r="25" spans="1:3" x14ac:dyDescent="0.25">
      <c r="A25">
        <v>24</v>
      </c>
      <c r="B25" t="s">
        <v>143</v>
      </c>
      <c r="C25" t="s">
        <v>1997</v>
      </c>
    </row>
    <row r="26" spans="1:3" x14ac:dyDescent="0.25">
      <c r="A26">
        <v>25</v>
      </c>
      <c r="B26" t="s">
        <v>143</v>
      </c>
      <c r="C26" t="s">
        <v>1998</v>
      </c>
    </row>
    <row r="27" spans="1:3" x14ac:dyDescent="0.25">
      <c r="A27">
        <v>26</v>
      </c>
      <c r="B27" t="s">
        <v>143</v>
      </c>
      <c r="C27" t="s">
        <v>1999</v>
      </c>
    </row>
    <row r="28" spans="1:3" x14ac:dyDescent="0.25">
      <c r="A28">
        <v>27</v>
      </c>
      <c r="B28" t="s">
        <v>143</v>
      </c>
      <c r="C28" t="s">
        <v>2000</v>
      </c>
    </row>
    <row r="29" spans="1:3" x14ac:dyDescent="0.25">
      <c r="A29">
        <v>28</v>
      </c>
      <c r="B29" t="s">
        <v>143</v>
      </c>
      <c r="C29" t="s">
        <v>2001</v>
      </c>
    </row>
    <row r="30" spans="1:3" x14ac:dyDescent="0.25">
      <c r="A30">
        <v>29</v>
      </c>
      <c r="B30" t="s">
        <v>143</v>
      </c>
      <c r="C30" t="s">
        <v>2002</v>
      </c>
    </row>
    <row r="31" spans="1:3" x14ac:dyDescent="0.25">
      <c r="A31">
        <v>30</v>
      </c>
      <c r="B31" t="s">
        <v>143</v>
      </c>
      <c r="C31" t="s">
        <v>2003</v>
      </c>
    </row>
    <row r="32" spans="1:3" x14ac:dyDescent="0.25">
      <c r="A32">
        <v>31</v>
      </c>
      <c r="B32" t="s">
        <v>143</v>
      </c>
      <c r="C32" t="s">
        <v>2004</v>
      </c>
    </row>
  </sheetData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0"/>
  <dimension ref="A1:C443"/>
  <sheetViews>
    <sheetView workbookViewId="0">
      <selection activeCell="B13" sqref="B13"/>
    </sheetView>
  </sheetViews>
  <sheetFormatPr defaultRowHeight="15" x14ac:dyDescent="0.25"/>
  <cols>
    <col min="2" max="2" width="49.5703125" bestFit="1" customWidth="1"/>
    <col min="3" max="3" width="63.7109375" bestFit="1" customWidth="1"/>
    <col min="4" max="4" width="8.28515625" customWidth="1"/>
    <col min="5" max="5" width="6.7109375" customWidth="1"/>
    <col min="6" max="6" width="7.42578125" customWidth="1"/>
    <col min="7" max="8" width="8.28515625" customWidth="1"/>
    <col min="9" max="9" width="62" bestFit="1" customWidth="1"/>
  </cols>
  <sheetData>
    <row r="1" spans="1:3" x14ac:dyDescent="0.25">
      <c r="A1">
        <v>0</v>
      </c>
      <c r="B1" t="s">
        <v>143</v>
      </c>
      <c r="C1" t="s">
        <v>2101</v>
      </c>
    </row>
    <row r="2" spans="1:3" x14ac:dyDescent="0.25">
      <c r="A2">
        <v>1</v>
      </c>
      <c r="B2" t="s">
        <v>143</v>
      </c>
      <c r="C2" t="s">
        <v>2102</v>
      </c>
    </row>
    <row r="3" spans="1:3" x14ac:dyDescent="0.25">
      <c r="A3">
        <v>2</v>
      </c>
      <c r="B3" t="s">
        <v>2551</v>
      </c>
      <c r="C3" t="s">
        <v>2103</v>
      </c>
    </row>
    <row r="4" spans="1:3" x14ac:dyDescent="0.25">
      <c r="A4">
        <v>3</v>
      </c>
      <c r="B4" t="s">
        <v>143</v>
      </c>
      <c r="C4" t="s">
        <v>2104</v>
      </c>
    </row>
    <row r="5" spans="1:3" x14ac:dyDescent="0.25">
      <c r="A5">
        <v>4</v>
      </c>
      <c r="B5" t="s">
        <v>143</v>
      </c>
      <c r="C5" t="s">
        <v>2105</v>
      </c>
    </row>
    <row r="6" spans="1:3" x14ac:dyDescent="0.25">
      <c r="A6">
        <v>5</v>
      </c>
      <c r="B6" t="s">
        <v>143</v>
      </c>
      <c r="C6" t="s">
        <v>2106</v>
      </c>
    </row>
    <row r="7" spans="1:3" x14ac:dyDescent="0.25">
      <c r="A7">
        <v>6</v>
      </c>
      <c r="B7" t="s">
        <v>143</v>
      </c>
      <c r="C7" t="s">
        <v>2107</v>
      </c>
    </row>
    <row r="8" spans="1:3" x14ac:dyDescent="0.25">
      <c r="A8">
        <v>7</v>
      </c>
      <c r="B8" t="s">
        <v>143</v>
      </c>
      <c r="C8" t="s">
        <v>2108</v>
      </c>
    </row>
    <row r="9" spans="1:3" x14ac:dyDescent="0.25">
      <c r="A9">
        <v>8</v>
      </c>
      <c r="B9" t="s">
        <v>143</v>
      </c>
      <c r="C9" t="s">
        <v>2109</v>
      </c>
    </row>
    <row r="10" spans="1:3" x14ac:dyDescent="0.25">
      <c r="A10">
        <v>9</v>
      </c>
      <c r="B10" t="s">
        <v>143</v>
      </c>
      <c r="C10" t="s">
        <v>2110</v>
      </c>
    </row>
    <row r="11" spans="1:3" x14ac:dyDescent="0.25">
      <c r="A11">
        <v>10</v>
      </c>
      <c r="B11" t="s">
        <v>143</v>
      </c>
      <c r="C11" t="s">
        <v>2111</v>
      </c>
    </row>
    <row r="12" spans="1:3" x14ac:dyDescent="0.25">
      <c r="A12">
        <v>11</v>
      </c>
      <c r="B12" t="s">
        <v>143</v>
      </c>
      <c r="C12" t="s">
        <v>2112</v>
      </c>
    </row>
    <row r="13" spans="1:3" x14ac:dyDescent="0.25">
      <c r="A13">
        <v>12</v>
      </c>
      <c r="B13" t="s">
        <v>143</v>
      </c>
      <c r="C13" t="s">
        <v>2113</v>
      </c>
    </row>
    <row r="14" spans="1:3" x14ac:dyDescent="0.25">
      <c r="A14">
        <v>13</v>
      </c>
      <c r="B14" t="s">
        <v>143</v>
      </c>
      <c r="C14" t="s">
        <v>2114</v>
      </c>
    </row>
    <row r="15" spans="1:3" x14ac:dyDescent="0.25">
      <c r="A15">
        <v>14</v>
      </c>
      <c r="B15" t="s">
        <v>143</v>
      </c>
      <c r="C15" t="s">
        <v>2115</v>
      </c>
    </row>
    <row r="16" spans="1:3" x14ac:dyDescent="0.25">
      <c r="A16">
        <v>15</v>
      </c>
      <c r="B16" t="s">
        <v>143</v>
      </c>
      <c r="C16" t="s">
        <v>2116</v>
      </c>
    </row>
    <row r="17" spans="1:3" x14ac:dyDescent="0.25">
      <c r="A17">
        <v>16</v>
      </c>
      <c r="B17" t="s">
        <v>143</v>
      </c>
      <c r="C17" t="s">
        <v>2117</v>
      </c>
    </row>
    <row r="18" spans="1:3" x14ac:dyDescent="0.25">
      <c r="A18">
        <v>17</v>
      </c>
      <c r="B18" t="s">
        <v>143</v>
      </c>
      <c r="C18" t="s">
        <v>2118</v>
      </c>
    </row>
    <row r="19" spans="1:3" x14ac:dyDescent="0.25">
      <c r="A19">
        <v>18</v>
      </c>
      <c r="B19" t="s">
        <v>143</v>
      </c>
      <c r="C19" t="s">
        <v>2119</v>
      </c>
    </row>
    <row r="20" spans="1:3" x14ac:dyDescent="0.25">
      <c r="A20">
        <v>19</v>
      </c>
      <c r="B20" t="s">
        <v>143</v>
      </c>
      <c r="C20" t="s">
        <v>2120</v>
      </c>
    </row>
    <row r="21" spans="1:3" x14ac:dyDescent="0.25">
      <c r="A21">
        <v>20</v>
      </c>
      <c r="B21" t="s">
        <v>143</v>
      </c>
      <c r="C21" t="s">
        <v>2121</v>
      </c>
    </row>
    <row r="22" spans="1:3" x14ac:dyDescent="0.25">
      <c r="A22">
        <v>21</v>
      </c>
      <c r="B22" t="s">
        <v>143</v>
      </c>
      <c r="C22" t="s">
        <v>2122</v>
      </c>
    </row>
    <row r="23" spans="1:3" x14ac:dyDescent="0.25">
      <c r="A23">
        <v>22</v>
      </c>
      <c r="B23" t="s">
        <v>143</v>
      </c>
      <c r="C23" t="s">
        <v>2123</v>
      </c>
    </row>
    <row r="24" spans="1:3" x14ac:dyDescent="0.25">
      <c r="A24">
        <v>23</v>
      </c>
      <c r="B24" t="s">
        <v>143</v>
      </c>
      <c r="C24" t="s">
        <v>2124</v>
      </c>
    </row>
    <row r="25" spans="1:3" x14ac:dyDescent="0.25">
      <c r="A25">
        <v>24</v>
      </c>
      <c r="B25" t="s">
        <v>143</v>
      </c>
      <c r="C25" t="s">
        <v>2125</v>
      </c>
    </row>
    <row r="26" spans="1:3" x14ac:dyDescent="0.25">
      <c r="A26">
        <v>25</v>
      </c>
      <c r="B26" t="s">
        <v>143</v>
      </c>
      <c r="C26" t="s">
        <v>2126</v>
      </c>
    </row>
    <row r="27" spans="1:3" x14ac:dyDescent="0.25">
      <c r="A27">
        <v>26</v>
      </c>
      <c r="B27" t="s">
        <v>143</v>
      </c>
      <c r="C27" t="s">
        <v>2127</v>
      </c>
    </row>
    <row r="28" spans="1:3" x14ac:dyDescent="0.25">
      <c r="A28">
        <v>27</v>
      </c>
      <c r="B28" t="s">
        <v>143</v>
      </c>
      <c r="C28" t="s">
        <v>2128</v>
      </c>
    </row>
    <row r="29" spans="1:3" x14ac:dyDescent="0.25">
      <c r="A29">
        <v>28</v>
      </c>
      <c r="B29" t="s">
        <v>143</v>
      </c>
      <c r="C29" t="s">
        <v>2129</v>
      </c>
    </row>
    <row r="30" spans="1:3" x14ac:dyDescent="0.25">
      <c r="A30">
        <v>29</v>
      </c>
      <c r="B30" t="s">
        <v>143</v>
      </c>
      <c r="C30" t="s">
        <v>2130</v>
      </c>
    </row>
    <row r="31" spans="1:3" x14ac:dyDescent="0.25">
      <c r="A31">
        <v>30</v>
      </c>
      <c r="B31" t="s">
        <v>143</v>
      </c>
      <c r="C31" t="s">
        <v>2131</v>
      </c>
    </row>
    <row r="32" spans="1:3" x14ac:dyDescent="0.25">
      <c r="A32">
        <v>31</v>
      </c>
      <c r="B32" t="s">
        <v>143</v>
      </c>
      <c r="C32" t="s">
        <v>2132</v>
      </c>
    </row>
    <row r="33" spans="1:3" x14ac:dyDescent="0.25">
      <c r="A33">
        <v>32</v>
      </c>
      <c r="B33" t="s">
        <v>143</v>
      </c>
      <c r="C33" t="s">
        <v>2133</v>
      </c>
    </row>
    <row r="34" spans="1:3" x14ac:dyDescent="0.25">
      <c r="A34">
        <v>33</v>
      </c>
      <c r="B34" t="s">
        <v>143</v>
      </c>
      <c r="C34" t="s">
        <v>2134</v>
      </c>
    </row>
    <row r="35" spans="1:3" x14ac:dyDescent="0.25">
      <c r="A35">
        <v>34</v>
      </c>
      <c r="B35" t="s">
        <v>143</v>
      </c>
      <c r="C35" t="s">
        <v>2135</v>
      </c>
    </row>
    <row r="36" spans="1:3" x14ac:dyDescent="0.25">
      <c r="A36">
        <v>35</v>
      </c>
      <c r="B36" t="s">
        <v>143</v>
      </c>
      <c r="C36" t="s">
        <v>2136</v>
      </c>
    </row>
    <row r="37" spans="1:3" x14ac:dyDescent="0.25">
      <c r="A37">
        <v>36</v>
      </c>
      <c r="B37" t="s">
        <v>143</v>
      </c>
      <c r="C37" t="s">
        <v>2137</v>
      </c>
    </row>
    <row r="38" spans="1:3" x14ac:dyDescent="0.25">
      <c r="A38">
        <v>37</v>
      </c>
      <c r="B38" t="s">
        <v>143</v>
      </c>
      <c r="C38" t="s">
        <v>2138</v>
      </c>
    </row>
    <row r="39" spans="1:3" x14ac:dyDescent="0.25">
      <c r="A39">
        <v>38</v>
      </c>
      <c r="B39" t="s">
        <v>143</v>
      </c>
      <c r="C39" t="s">
        <v>2139</v>
      </c>
    </row>
    <row r="40" spans="1:3" x14ac:dyDescent="0.25">
      <c r="A40">
        <v>39</v>
      </c>
      <c r="B40" t="s">
        <v>143</v>
      </c>
      <c r="C40" t="s">
        <v>2140</v>
      </c>
    </row>
    <row r="41" spans="1:3" x14ac:dyDescent="0.25">
      <c r="A41">
        <v>40</v>
      </c>
      <c r="B41" t="s">
        <v>143</v>
      </c>
      <c r="C41" t="s">
        <v>2141</v>
      </c>
    </row>
    <row r="42" spans="1:3" x14ac:dyDescent="0.25">
      <c r="A42">
        <v>41</v>
      </c>
      <c r="B42" t="s">
        <v>143</v>
      </c>
      <c r="C42" t="s">
        <v>2142</v>
      </c>
    </row>
    <row r="43" spans="1:3" x14ac:dyDescent="0.25">
      <c r="A43">
        <v>42</v>
      </c>
      <c r="B43" t="s">
        <v>143</v>
      </c>
      <c r="C43" t="s">
        <v>2143</v>
      </c>
    </row>
    <row r="44" spans="1:3" x14ac:dyDescent="0.25">
      <c r="A44">
        <v>43</v>
      </c>
      <c r="B44" t="s">
        <v>143</v>
      </c>
      <c r="C44" t="s">
        <v>2144</v>
      </c>
    </row>
    <row r="45" spans="1:3" x14ac:dyDescent="0.25">
      <c r="A45">
        <v>44</v>
      </c>
      <c r="B45" t="s">
        <v>143</v>
      </c>
      <c r="C45" t="s">
        <v>2145</v>
      </c>
    </row>
    <row r="46" spans="1:3" x14ac:dyDescent="0.25">
      <c r="A46">
        <v>45</v>
      </c>
      <c r="B46" t="s">
        <v>143</v>
      </c>
      <c r="C46" t="s">
        <v>2146</v>
      </c>
    </row>
    <row r="47" spans="1:3" x14ac:dyDescent="0.25">
      <c r="A47">
        <v>46</v>
      </c>
      <c r="B47" t="s">
        <v>143</v>
      </c>
      <c r="C47" t="s">
        <v>2147</v>
      </c>
    </row>
    <row r="48" spans="1:3" x14ac:dyDescent="0.25">
      <c r="A48">
        <v>47</v>
      </c>
      <c r="B48" t="s">
        <v>143</v>
      </c>
      <c r="C48" t="s">
        <v>2148</v>
      </c>
    </row>
    <row r="49" spans="1:3" x14ac:dyDescent="0.25">
      <c r="A49">
        <v>48</v>
      </c>
      <c r="B49" t="s">
        <v>143</v>
      </c>
      <c r="C49" t="s">
        <v>2149</v>
      </c>
    </row>
    <row r="50" spans="1:3" x14ac:dyDescent="0.25">
      <c r="A50">
        <v>49</v>
      </c>
      <c r="B50" t="s">
        <v>143</v>
      </c>
      <c r="C50" t="s">
        <v>2150</v>
      </c>
    </row>
    <row r="51" spans="1:3" x14ac:dyDescent="0.25">
      <c r="A51">
        <v>50</v>
      </c>
      <c r="B51" t="s">
        <v>143</v>
      </c>
      <c r="C51" t="s">
        <v>2151</v>
      </c>
    </row>
    <row r="52" spans="1:3" x14ac:dyDescent="0.25">
      <c r="A52">
        <v>51</v>
      </c>
      <c r="B52" t="s">
        <v>143</v>
      </c>
      <c r="C52" t="s">
        <v>2152</v>
      </c>
    </row>
    <row r="53" spans="1:3" x14ac:dyDescent="0.25">
      <c r="A53">
        <v>52</v>
      </c>
      <c r="B53" t="s">
        <v>143</v>
      </c>
      <c r="C53" t="s">
        <v>2153</v>
      </c>
    </row>
    <row r="54" spans="1:3" x14ac:dyDescent="0.25">
      <c r="A54">
        <v>53</v>
      </c>
      <c r="B54" t="s">
        <v>143</v>
      </c>
      <c r="C54" t="s">
        <v>2154</v>
      </c>
    </row>
    <row r="55" spans="1:3" x14ac:dyDescent="0.25">
      <c r="A55">
        <v>54</v>
      </c>
      <c r="B55" t="s">
        <v>143</v>
      </c>
      <c r="C55" t="s">
        <v>2155</v>
      </c>
    </row>
    <row r="56" spans="1:3" x14ac:dyDescent="0.25">
      <c r="A56">
        <v>55</v>
      </c>
      <c r="B56" t="s">
        <v>143</v>
      </c>
      <c r="C56" t="s">
        <v>2156</v>
      </c>
    </row>
    <row r="57" spans="1:3" x14ac:dyDescent="0.25">
      <c r="A57">
        <v>56</v>
      </c>
      <c r="B57" t="s">
        <v>143</v>
      </c>
      <c r="C57" t="s">
        <v>2157</v>
      </c>
    </row>
    <row r="58" spans="1:3" x14ac:dyDescent="0.25">
      <c r="A58">
        <v>57</v>
      </c>
      <c r="B58" t="s">
        <v>143</v>
      </c>
      <c r="C58" t="s">
        <v>2158</v>
      </c>
    </row>
    <row r="59" spans="1:3" x14ac:dyDescent="0.25">
      <c r="A59">
        <v>58</v>
      </c>
      <c r="B59" t="s">
        <v>143</v>
      </c>
      <c r="C59" t="s">
        <v>2159</v>
      </c>
    </row>
    <row r="60" spans="1:3" x14ac:dyDescent="0.25">
      <c r="A60">
        <v>59</v>
      </c>
      <c r="B60" t="s">
        <v>143</v>
      </c>
      <c r="C60" t="s">
        <v>2160</v>
      </c>
    </row>
    <row r="61" spans="1:3" x14ac:dyDescent="0.25">
      <c r="A61">
        <v>60</v>
      </c>
      <c r="B61" t="s">
        <v>143</v>
      </c>
      <c r="C61" t="s">
        <v>2161</v>
      </c>
    </row>
    <row r="62" spans="1:3" x14ac:dyDescent="0.25">
      <c r="A62">
        <v>61</v>
      </c>
      <c r="B62" t="s">
        <v>143</v>
      </c>
      <c r="C62" t="s">
        <v>2162</v>
      </c>
    </row>
    <row r="63" spans="1:3" x14ac:dyDescent="0.25">
      <c r="A63">
        <v>62</v>
      </c>
      <c r="B63" t="s">
        <v>143</v>
      </c>
      <c r="C63" t="s">
        <v>2163</v>
      </c>
    </row>
    <row r="64" spans="1:3" x14ac:dyDescent="0.25">
      <c r="A64">
        <v>63</v>
      </c>
      <c r="B64" t="s">
        <v>143</v>
      </c>
      <c r="C64" t="s">
        <v>2164</v>
      </c>
    </row>
    <row r="65" spans="1:3" x14ac:dyDescent="0.25">
      <c r="A65">
        <v>64</v>
      </c>
      <c r="B65" t="s">
        <v>143</v>
      </c>
      <c r="C65" t="s">
        <v>2165</v>
      </c>
    </row>
    <row r="66" spans="1:3" x14ac:dyDescent="0.25">
      <c r="A66">
        <v>65</v>
      </c>
      <c r="B66" t="s">
        <v>143</v>
      </c>
      <c r="C66" t="s">
        <v>2166</v>
      </c>
    </row>
    <row r="67" spans="1:3" x14ac:dyDescent="0.25">
      <c r="A67">
        <v>66</v>
      </c>
      <c r="B67" t="s">
        <v>143</v>
      </c>
      <c r="C67" t="s">
        <v>2167</v>
      </c>
    </row>
    <row r="68" spans="1:3" x14ac:dyDescent="0.25">
      <c r="A68">
        <v>67</v>
      </c>
      <c r="B68" t="s">
        <v>143</v>
      </c>
      <c r="C68" t="s">
        <v>2168</v>
      </c>
    </row>
    <row r="69" spans="1:3" x14ac:dyDescent="0.25">
      <c r="A69">
        <v>68</v>
      </c>
      <c r="B69" t="s">
        <v>143</v>
      </c>
      <c r="C69" t="s">
        <v>2169</v>
      </c>
    </row>
    <row r="70" spans="1:3" x14ac:dyDescent="0.25">
      <c r="A70">
        <v>69</v>
      </c>
      <c r="B70" t="s">
        <v>143</v>
      </c>
      <c r="C70" t="s">
        <v>2170</v>
      </c>
    </row>
    <row r="71" spans="1:3" x14ac:dyDescent="0.25">
      <c r="A71">
        <v>70</v>
      </c>
      <c r="B71" t="s">
        <v>143</v>
      </c>
      <c r="C71" t="s">
        <v>2171</v>
      </c>
    </row>
    <row r="72" spans="1:3" x14ac:dyDescent="0.25">
      <c r="A72">
        <v>71</v>
      </c>
      <c r="B72" t="s">
        <v>143</v>
      </c>
      <c r="C72" t="s">
        <v>2172</v>
      </c>
    </row>
    <row r="73" spans="1:3" x14ac:dyDescent="0.25">
      <c r="A73">
        <v>72</v>
      </c>
      <c r="B73" t="s">
        <v>143</v>
      </c>
      <c r="C73" t="s">
        <v>2173</v>
      </c>
    </row>
    <row r="74" spans="1:3" x14ac:dyDescent="0.25">
      <c r="A74">
        <v>73</v>
      </c>
      <c r="B74" t="s">
        <v>143</v>
      </c>
      <c r="C74" t="s">
        <v>2174</v>
      </c>
    </row>
    <row r="75" spans="1:3" x14ac:dyDescent="0.25">
      <c r="A75">
        <v>74</v>
      </c>
      <c r="B75" t="s">
        <v>143</v>
      </c>
      <c r="C75" t="s">
        <v>2175</v>
      </c>
    </row>
    <row r="76" spans="1:3" x14ac:dyDescent="0.25">
      <c r="A76">
        <v>75</v>
      </c>
      <c r="B76" t="s">
        <v>143</v>
      </c>
      <c r="C76" t="s">
        <v>2176</v>
      </c>
    </row>
    <row r="77" spans="1:3" x14ac:dyDescent="0.25">
      <c r="A77">
        <v>76</v>
      </c>
      <c r="B77" t="s">
        <v>143</v>
      </c>
      <c r="C77" t="s">
        <v>2177</v>
      </c>
    </row>
    <row r="78" spans="1:3" x14ac:dyDescent="0.25">
      <c r="A78">
        <v>77</v>
      </c>
      <c r="B78" t="s">
        <v>143</v>
      </c>
      <c r="C78" t="s">
        <v>2178</v>
      </c>
    </row>
    <row r="79" spans="1:3" x14ac:dyDescent="0.25">
      <c r="A79">
        <v>78</v>
      </c>
      <c r="B79" t="s">
        <v>143</v>
      </c>
      <c r="C79" t="s">
        <v>2179</v>
      </c>
    </row>
    <row r="80" spans="1:3" x14ac:dyDescent="0.25">
      <c r="A80">
        <v>79</v>
      </c>
      <c r="B80" t="s">
        <v>143</v>
      </c>
      <c r="C80" t="s">
        <v>2180</v>
      </c>
    </row>
    <row r="81" spans="1:3" x14ac:dyDescent="0.25">
      <c r="A81">
        <v>80</v>
      </c>
      <c r="B81" t="s">
        <v>143</v>
      </c>
      <c r="C81" t="s">
        <v>2181</v>
      </c>
    </row>
    <row r="82" spans="1:3" x14ac:dyDescent="0.25">
      <c r="A82">
        <v>81</v>
      </c>
      <c r="B82" t="s">
        <v>143</v>
      </c>
      <c r="C82" t="s">
        <v>2182</v>
      </c>
    </row>
    <row r="83" spans="1:3" x14ac:dyDescent="0.25">
      <c r="A83">
        <v>82</v>
      </c>
      <c r="B83" t="s">
        <v>143</v>
      </c>
      <c r="C83" t="s">
        <v>2183</v>
      </c>
    </row>
    <row r="84" spans="1:3" x14ac:dyDescent="0.25">
      <c r="A84">
        <v>83</v>
      </c>
      <c r="B84" t="s">
        <v>143</v>
      </c>
      <c r="C84" t="s">
        <v>2184</v>
      </c>
    </row>
    <row r="85" spans="1:3" x14ac:dyDescent="0.25">
      <c r="A85">
        <v>84</v>
      </c>
      <c r="B85" t="s">
        <v>143</v>
      </c>
      <c r="C85" t="s">
        <v>2185</v>
      </c>
    </row>
    <row r="86" spans="1:3" x14ac:dyDescent="0.25">
      <c r="A86">
        <v>85</v>
      </c>
      <c r="B86" t="s">
        <v>143</v>
      </c>
      <c r="C86" t="s">
        <v>2186</v>
      </c>
    </row>
    <row r="87" spans="1:3" x14ac:dyDescent="0.25">
      <c r="A87">
        <v>86</v>
      </c>
      <c r="B87" t="s">
        <v>143</v>
      </c>
      <c r="C87" t="s">
        <v>2187</v>
      </c>
    </row>
    <row r="88" spans="1:3" x14ac:dyDescent="0.25">
      <c r="A88">
        <v>87</v>
      </c>
      <c r="B88" t="s">
        <v>143</v>
      </c>
      <c r="C88" t="s">
        <v>2188</v>
      </c>
    </row>
    <row r="89" spans="1:3" x14ac:dyDescent="0.25">
      <c r="A89">
        <v>88</v>
      </c>
      <c r="B89" t="s">
        <v>143</v>
      </c>
      <c r="C89" t="s">
        <v>2189</v>
      </c>
    </row>
    <row r="90" spans="1:3" x14ac:dyDescent="0.25">
      <c r="A90">
        <v>89</v>
      </c>
      <c r="B90" t="s">
        <v>143</v>
      </c>
      <c r="C90" t="s">
        <v>2190</v>
      </c>
    </row>
    <row r="91" spans="1:3" x14ac:dyDescent="0.25">
      <c r="A91">
        <v>90</v>
      </c>
      <c r="B91" t="s">
        <v>143</v>
      </c>
      <c r="C91" t="s">
        <v>2191</v>
      </c>
    </row>
    <row r="92" spans="1:3" x14ac:dyDescent="0.25">
      <c r="A92">
        <v>91</v>
      </c>
      <c r="B92" t="s">
        <v>143</v>
      </c>
      <c r="C92" t="s">
        <v>2192</v>
      </c>
    </row>
    <row r="93" spans="1:3" x14ac:dyDescent="0.25">
      <c r="A93">
        <v>92</v>
      </c>
      <c r="B93" t="s">
        <v>143</v>
      </c>
      <c r="C93" t="s">
        <v>2193</v>
      </c>
    </row>
    <row r="94" spans="1:3" x14ac:dyDescent="0.25">
      <c r="A94">
        <v>93</v>
      </c>
      <c r="B94" t="s">
        <v>143</v>
      </c>
      <c r="C94" t="s">
        <v>2194</v>
      </c>
    </row>
    <row r="95" spans="1:3" x14ac:dyDescent="0.25">
      <c r="A95">
        <v>94</v>
      </c>
      <c r="B95" t="s">
        <v>143</v>
      </c>
      <c r="C95" t="s">
        <v>2195</v>
      </c>
    </row>
    <row r="96" spans="1:3" x14ac:dyDescent="0.25">
      <c r="A96">
        <v>95</v>
      </c>
      <c r="B96" t="s">
        <v>143</v>
      </c>
      <c r="C96" t="s">
        <v>2196</v>
      </c>
    </row>
    <row r="97" spans="1:3" x14ac:dyDescent="0.25">
      <c r="A97">
        <v>96</v>
      </c>
      <c r="B97" t="s">
        <v>143</v>
      </c>
      <c r="C97" t="s">
        <v>2197</v>
      </c>
    </row>
    <row r="98" spans="1:3" x14ac:dyDescent="0.25">
      <c r="A98">
        <v>97</v>
      </c>
      <c r="B98" t="s">
        <v>143</v>
      </c>
      <c r="C98" t="s">
        <v>2198</v>
      </c>
    </row>
    <row r="99" spans="1:3" x14ac:dyDescent="0.25">
      <c r="A99">
        <v>98</v>
      </c>
      <c r="B99" t="s">
        <v>143</v>
      </c>
      <c r="C99" t="s">
        <v>2199</v>
      </c>
    </row>
    <row r="100" spans="1:3" x14ac:dyDescent="0.25">
      <c r="A100">
        <v>99</v>
      </c>
      <c r="B100" t="s">
        <v>143</v>
      </c>
      <c r="C100" t="s">
        <v>2200</v>
      </c>
    </row>
    <row r="101" spans="1:3" x14ac:dyDescent="0.25">
      <c r="A101">
        <v>100</v>
      </c>
      <c r="B101" t="s">
        <v>143</v>
      </c>
      <c r="C101" t="s">
        <v>2201</v>
      </c>
    </row>
    <row r="102" spans="1:3" x14ac:dyDescent="0.25">
      <c r="A102">
        <v>101</v>
      </c>
      <c r="B102" t="s">
        <v>143</v>
      </c>
      <c r="C102" t="s">
        <v>2202</v>
      </c>
    </row>
    <row r="103" spans="1:3" x14ac:dyDescent="0.25">
      <c r="A103">
        <v>102</v>
      </c>
      <c r="B103" t="s">
        <v>143</v>
      </c>
      <c r="C103" t="s">
        <v>2203</v>
      </c>
    </row>
    <row r="104" spans="1:3" x14ac:dyDescent="0.25">
      <c r="A104">
        <v>103</v>
      </c>
      <c r="B104" t="s">
        <v>143</v>
      </c>
      <c r="C104" t="s">
        <v>2204</v>
      </c>
    </row>
    <row r="105" spans="1:3" x14ac:dyDescent="0.25">
      <c r="A105">
        <v>104</v>
      </c>
      <c r="B105" t="s">
        <v>143</v>
      </c>
      <c r="C105" t="s">
        <v>2205</v>
      </c>
    </row>
    <row r="106" spans="1:3" x14ac:dyDescent="0.25">
      <c r="A106">
        <v>105</v>
      </c>
      <c r="B106" t="s">
        <v>143</v>
      </c>
      <c r="C106" t="s">
        <v>2206</v>
      </c>
    </row>
    <row r="107" spans="1:3" x14ac:dyDescent="0.25">
      <c r="A107">
        <v>106</v>
      </c>
      <c r="B107" t="s">
        <v>143</v>
      </c>
      <c r="C107" t="s">
        <v>2207</v>
      </c>
    </row>
    <row r="108" spans="1:3" x14ac:dyDescent="0.25">
      <c r="A108">
        <v>107</v>
      </c>
      <c r="B108" t="s">
        <v>143</v>
      </c>
      <c r="C108" t="s">
        <v>2208</v>
      </c>
    </row>
    <row r="109" spans="1:3" x14ac:dyDescent="0.25">
      <c r="A109">
        <v>108</v>
      </c>
      <c r="B109" t="s">
        <v>143</v>
      </c>
      <c r="C109" t="s">
        <v>2209</v>
      </c>
    </row>
    <row r="110" spans="1:3" x14ac:dyDescent="0.25">
      <c r="A110">
        <v>109</v>
      </c>
      <c r="B110" t="s">
        <v>143</v>
      </c>
      <c r="C110" t="s">
        <v>2210</v>
      </c>
    </row>
    <row r="111" spans="1:3" x14ac:dyDescent="0.25">
      <c r="A111">
        <v>110</v>
      </c>
      <c r="B111" t="s">
        <v>143</v>
      </c>
      <c r="C111" t="s">
        <v>2211</v>
      </c>
    </row>
    <row r="112" spans="1:3" x14ac:dyDescent="0.25">
      <c r="A112">
        <v>111</v>
      </c>
      <c r="B112" t="s">
        <v>143</v>
      </c>
      <c r="C112" t="s">
        <v>2212</v>
      </c>
    </row>
    <row r="113" spans="1:3" x14ac:dyDescent="0.25">
      <c r="A113">
        <v>112</v>
      </c>
      <c r="B113" t="s">
        <v>143</v>
      </c>
      <c r="C113" t="s">
        <v>2213</v>
      </c>
    </row>
    <row r="114" spans="1:3" x14ac:dyDescent="0.25">
      <c r="A114">
        <v>113</v>
      </c>
      <c r="B114" t="s">
        <v>143</v>
      </c>
      <c r="C114" t="s">
        <v>2214</v>
      </c>
    </row>
    <row r="115" spans="1:3" x14ac:dyDescent="0.25">
      <c r="A115">
        <v>114</v>
      </c>
      <c r="B115" t="s">
        <v>143</v>
      </c>
      <c r="C115" t="s">
        <v>2215</v>
      </c>
    </row>
    <row r="116" spans="1:3" x14ac:dyDescent="0.25">
      <c r="A116">
        <v>115</v>
      </c>
      <c r="B116" t="s">
        <v>143</v>
      </c>
      <c r="C116" t="s">
        <v>2216</v>
      </c>
    </row>
    <row r="117" spans="1:3" x14ac:dyDescent="0.25">
      <c r="A117">
        <v>116</v>
      </c>
      <c r="B117" t="s">
        <v>143</v>
      </c>
      <c r="C117" t="s">
        <v>2217</v>
      </c>
    </row>
    <row r="118" spans="1:3" x14ac:dyDescent="0.25">
      <c r="A118">
        <v>117</v>
      </c>
      <c r="B118" t="s">
        <v>143</v>
      </c>
      <c r="C118" t="s">
        <v>2218</v>
      </c>
    </row>
    <row r="119" spans="1:3" x14ac:dyDescent="0.25">
      <c r="A119">
        <v>118</v>
      </c>
      <c r="B119" t="s">
        <v>143</v>
      </c>
      <c r="C119" t="s">
        <v>2219</v>
      </c>
    </row>
    <row r="120" spans="1:3" x14ac:dyDescent="0.25">
      <c r="A120">
        <v>119</v>
      </c>
      <c r="B120" t="s">
        <v>143</v>
      </c>
      <c r="C120" t="s">
        <v>2220</v>
      </c>
    </row>
    <row r="121" spans="1:3" x14ac:dyDescent="0.25">
      <c r="A121">
        <v>120</v>
      </c>
      <c r="B121" t="s">
        <v>143</v>
      </c>
      <c r="C121" t="s">
        <v>2221</v>
      </c>
    </row>
    <row r="122" spans="1:3" x14ac:dyDescent="0.25">
      <c r="A122">
        <v>121</v>
      </c>
      <c r="B122" t="s">
        <v>143</v>
      </c>
      <c r="C122" t="s">
        <v>2222</v>
      </c>
    </row>
    <row r="123" spans="1:3" x14ac:dyDescent="0.25">
      <c r="A123">
        <v>122</v>
      </c>
      <c r="B123" t="s">
        <v>143</v>
      </c>
      <c r="C123" t="s">
        <v>2223</v>
      </c>
    </row>
    <row r="124" spans="1:3" x14ac:dyDescent="0.25">
      <c r="A124">
        <v>123</v>
      </c>
      <c r="B124" t="s">
        <v>143</v>
      </c>
      <c r="C124" t="s">
        <v>2224</v>
      </c>
    </row>
    <row r="125" spans="1:3" x14ac:dyDescent="0.25">
      <c r="A125">
        <v>124</v>
      </c>
      <c r="B125" t="s">
        <v>143</v>
      </c>
      <c r="C125" t="s">
        <v>2225</v>
      </c>
    </row>
    <row r="126" spans="1:3" x14ac:dyDescent="0.25">
      <c r="A126">
        <v>125</v>
      </c>
      <c r="B126" t="s">
        <v>143</v>
      </c>
      <c r="C126" t="s">
        <v>2226</v>
      </c>
    </row>
    <row r="127" spans="1:3" x14ac:dyDescent="0.25">
      <c r="A127">
        <v>126</v>
      </c>
      <c r="B127" t="s">
        <v>143</v>
      </c>
      <c r="C127" t="s">
        <v>2227</v>
      </c>
    </row>
    <row r="128" spans="1:3" x14ac:dyDescent="0.25">
      <c r="A128">
        <v>127</v>
      </c>
      <c r="B128" t="s">
        <v>143</v>
      </c>
      <c r="C128" t="s">
        <v>2228</v>
      </c>
    </row>
    <row r="129" spans="1:3" x14ac:dyDescent="0.25">
      <c r="A129">
        <v>128</v>
      </c>
      <c r="B129" t="s">
        <v>143</v>
      </c>
      <c r="C129" t="s">
        <v>2229</v>
      </c>
    </row>
    <row r="130" spans="1:3" x14ac:dyDescent="0.25">
      <c r="A130">
        <v>129</v>
      </c>
      <c r="B130" t="s">
        <v>143</v>
      </c>
      <c r="C130" t="s">
        <v>2230</v>
      </c>
    </row>
    <row r="131" spans="1:3" x14ac:dyDescent="0.25">
      <c r="A131">
        <v>130</v>
      </c>
      <c r="B131" t="s">
        <v>143</v>
      </c>
      <c r="C131" t="s">
        <v>2231</v>
      </c>
    </row>
    <row r="132" spans="1:3" x14ac:dyDescent="0.25">
      <c r="A132">
        <v>131</v>
      </c>
      <c r="B132" t="s">
        <v>143</v>
      </c>
      <c r="C132" t="s">
        <v>2232</v>
      </c>
    </row>
    <row r="133" spans="1:3" x14ac:dyDescent="0.25">
      <c r="A133">
        <v>132</v>
      </c>
      <c r="B133" t="s">
        <v>143</v>
      </c>
      <c r="C133" t="s">
        <v>2233</v>
      </c>
    </row>
    <row r="134" spans="1:3" x14ac:dyDescent="0.25">
      <c r="A134">
        <v>133</v>
      </c>
      <c r="B134" t="s">
        <v>143</v>
      </c>
      <c r="C134" t="s">
        <v>2234</v>
      </c>
    </row>
    <row r="135" spans="1:3" x14ac:dyDescent="0.25">
      <c r="A135">
        <v>134</v>
      </c>
      <c r="B135" t="s">
        <v>143</v>
      </c>
      <c r="C135" t="s">
        <v>2235</v>
      </c>
    </row>
    <row r="136" spans="1:3" x14ac:dyDescent="0.25">
      <c r="A136">
        <v>135</v>
      </c>
      <c r="B136" t="s">
        <v>143</v>
      </c>
      <c r="C136" t="s">
        <v>2236</v>
      </c>
    </row>
    <row r="137" spans="1:3" x14ac:dyDescent="0.25">
      <c r="A137">
        <v>136</v>
      </c>
      <c r="B137" t="s">
        <v>143</v>
      </c>
      <c r="C137" t="s">
        <v>2237</v>
      </c>
    </row>
    <row r="138" spans="1:3" x14ac:dyDescent="0.25">
      <c r="A138">
        <v>137</v>
      </c>
      <c r="B138" t="s">
        <v>143</v>
      </c>
      <c r="C138" t="s">
        <v>2238</v>
      </c>
    </row>
    <row r="139" spans="1:3" x14ac:dyDescent="0.25">
      <c r="A139">
        <v>138</v>
      </c>
      <c r="B139" t="s">
        <v>143</v>
      </c>
      <c r="C139" t="s">
        <v>2239</v>
      </c>
    </row>
    <row r="140" spans="1:3" x14ac:dyDescent="0.25">
      <c r="A140">
        <v>139</v>
      </c>
      <c r="B140" t="s">
        <v>143</v>
      </c>
      <c r="C140" t="s">
        <v>2240</v>
      </c>
    </row>
    <row r="141" spans="1:3" x14ac:dyDescent="0.25">
      <c r="A141">
        <v>140</v>
      </c>
      <c r="B141" t="s">
        <v>143</v>
      </c>
      <c r="C141" t="s">
        <v>2241</v>
      </c>
    </row>
    <row r="142" spans="1:3" x14ac:dyDescent="0.25">
      <c r="A142">
        <v>141</v>
      </c>
      <c r="B142" t="s">
        <v>143</v>
      </c>
      <c r="C142" t="s">
        <v>2242</v>
      </c>
    </row>
    <row r="143" spans="1:3" x14ac:dyDescent="0.25">
      <c r="A143">
        <v>142</v>
      </c>
      <c r="B143" t="s">
        <v>143</v>
      </c>
      <c r="C143" t="s">
        <v>2243</v>
      </c>
    </row>
    <row r="144" spans="1:3" x14ac:dyDescent="0.25">
      <c r="A144">
        <v>143</v>
      </c>
      <c r="B144" t="s">
        <v>143</v>
      </c>
      <c r="C144" t="s">
        <v>2244</v>
      </c>
    </row>
    <row r="145" spans="1:3" x14ac:dyDescent="0.25">
      <c r="A145">
        <v>144</v>
      </c>
      <c r="B145" t="s">
        <v>143</v>
      </c>
      <c r="C145" t="s">
        <v>2245</v>
      </c>
    </row>
    <row r="146" spans="1:3" x14ac:dyDescent="0.25">
      <c r="A146">
        <v>145</v>
      </c>
      <c r="B146" t="s">
        <v>143</v>
      </c>
      <c r="C146" t="s">
        <v>2246</v>
      </c>
    </row>
    <row r="147" spans="1:3" x14ac:dyDescent="0.25">
      <c r="A147">
        <v>146</v>
      </c>
      <c r="B147" t="s">
        <v>143</v>
      </c>
      <c r="C147" t="s">
        <v>2247</v>
      </c>
    </row>
    <row r="148" spans="1:3" x14ac:dyDescent="0.25">
      <c r="A148">
        <v>147</v>
      </c>
      <c r="B148" t="s">
        <v>143</v>
      </c>
      <c r="C148" t="s">
        <v>2248</v>
      </c>
    </row>
    <row r="149" spans="1:3" x14ac:dyDescent="0.25">
      <c r="A149">
        <v>148</v>
      </c>
      <c r="B149" t="s">
        <v>143</v>
      </c>
      <c r="C149" t="s">
        <v>2249</v>
      </c>
    </row>
    <row r="150" spans="1:3" x14ac:dyDescent="0.25">
      <c r="A150">
        <v>149</v>
      </c>
      <c r="B150" t="s">
        <v>143</v>
      </c>
      <c r="C150" t="s">
        <v>2250</v>
      </c>
    </row>
    <row r="151" spans="1:3" x14ac:dyDescent="0.25">
      <c r="A151">
        <v>150</v>
      </c>
      <c r="B151" t="s">
        <v>143</v>
      </c>
      <c r="C151" t="s">
        <v>2251</v>
      </c>
    </row>
    <row r="152" spans="1:3" x14ac:dyDescent="0.25">
      <c r="A152">
        <v>151</v>
      </c>
      <c r="B152" t="s">
        <v>143</v>
      </c>
      <c r="C152" t="s">
        <v>2252</v>
      </c>
    </row>
    <row r="153" spans="1:3" x14ac:dyDescent="0.25">
      <c r="A153">
        <v>152</v>
      </c>
      <c r="B153" t="s">
        <v>143</v>
      </c>
      <c r="C153" t="s">
        <v>2253</v>
      </c>
    </row>
    <row r="154" spans="1:3" x14ac:dyDescent="0.25">
      <c r="A154">
        <v>153</v>
      </c>
      <c r="B154" t="s">
        <v>143</v>
      </c>
      <c r="C154" t="s">
        <v>2254</v>
      </c>
    </row>
    <row r="155" spans="1:3" x14ac:dyDescent="0.25">
      <c r="A155">
        <v>154</v>
      </c>
      <c r="B155" t="s">
        <v>143</v>
      </c>
      <c r="C155" t="s">
        <v>2255</v>
      </c>
    </row>
    <row r="156" spans="1:3" x14ac:dyDescent="0.25">
      <c r="A156">
        <v>155</v>
      </c>
      <c r="B156" t="s">
        <v>143</v>
      </c>
      <c r="C156" t="s">
        <v>2256</v>
      </c>
    </row>
    <row r="157" spans="1:3" x14ac:dyDescent="0.25">
      <c r="A157">
        <v>156</v>
      </c>
      <c r="B157" t="s">
        <v>143</v>
      </c>
      <c r="C157" t="s">
        <v>2257</v>
      </c>
    </row>
    <row r="158" spans="1:3" x14ac:dyDescent="0.25">
      <c r="A158">
        <v>157</v>
      </c>
      <c r="B158" t="s">
        <v>143</v>
      </c>
      <c r="C158" t="s">
        <v>2258</v>
      </c>
    </row>
    <row r="159" spans="1:3" x14ac:dyDescent="0.25">
      <c r="A159">
        <v>158</v>
      </c>
      <c r="B159" t="s">
        <v>143</v>
      </c>
      <c r="C159" t="s">
        <v>2259</v>
      </c>
    </row>
    <row r="160" spans="1:3" x14ac:dyDescent="0.25">
      <c r="A160">
        <v>159</v>
      </c>
      <c r="B160" t="s">
        <v>143</v>
      </c>
      <c r="C160" t="s">
        <v>2260</v>
      </c>
    </row>
    <row r="161" spans="1:3" x14ac:dyDescent="0.25">
      <c r="A161">
        <v>160</v>
      </c>
      <c r="B161" t="s">
        <v>143</v>
      </c>
      <c r="C161" t="s">
        <v>2261</v>
      </c>
    </row>
    <row r="162" spans="1:3" x14ac:dyDescent="0.25">
      <c r="A162">
        <v>161</v>
      </c>
      <c r="B162" t="s">
        <v>143</v>
      </c>
      <c r="C162" t="s">
        <v>2262</v>
      </c>
    </row>
    <row r="163" spans="1:3" x14ac:dyDescent="0.25">
      <c r="A163">
        <v>162</v>
      </c>
      <c r="B163" t="s">
        <v>143</v>
      </c>
      <c r="C163" t="s">
        <v>2263</v>
      </c>
    </row>
    <row r="164" spans="1:3" x14ac:dyDescent="0.25">
      <c r="A164">
        <v>163</v>
      </c>
      <c r="B164" t="s">
        <v>143</v>
      </c>
      <c r="C164" t="s">
        <v>2264</v>
      </c>
    </row>
    <row r="165" spans="1:3" x14ac:dyDescent="0.25">
      <c r="A165">
        <v>164</v>
      </c>
      <c r="B165" t="s">
        <v>143</v>
      </c>
      <c r="C165" t="s">
        <v>2265</v>
      </c>
    </row>
    <row r="166" spans="1:3" x14ac:dyDescent="0.25">
      <c r="A166">
        <v>165</v>
      </c>
      <c r="B166" t="s">
        <v>143</v>
      </c>
      <c r="C166" t="s">
        <v>2266</v>
      </c>
    </row>
    <row r="167" spans="1:3" x14ac:dyDescent="0.25">
      <c r="A167">
        <v>166</v>
      </c>
      <c r="B167" t="s">
        <v>143</v>
      </c>
      <c r="C167" t="s">
        <v>2267</v>
      </c>
    </row>
    <row r="168" spans="1:3" x14ac:dyDescent="0.25">
      <c r="A168">
        <v>167</v>
      </c>
      <c r="B168" t="s">
        <v>143</v>
      </c>
      <c r="C168" t="s">
        <v>2268</v>
      </c>
    </row>
    <row r="169" spans="1:3" x14ac:dyDescent="0.25">
      <c r="A169">
        <v>168</v>
      </c>
      <c r="B169" t="s">
        <v>143</v>
      </c>
      <c r="C169" t="s">
        <v>2269</v>
      </c>
    </row>
    <row r="170" spans="1:3" x14ac:dyDescent="0.25">
      <c r="A170">
        <v>169</v>
      </c>
      <c r="B170" t="s">
        <v>143</v>
      </c>
      <c r="C170" t="s">
        <v>2270</v>
      </c>
    </row>
    <row r="171" spans="1:3" x14ac:dyDescent="0.25">
      <c r="A171">
        <v>170</v>
      </c>
      <c r="B171" t="s">
        <v>143</v>
      </c>
      <c r="C171" t="s">
        <v>2271</v>
      </c>
    </row>
    <row r="172" spans="1:3" x14ac:dyDescent="0.25">
      <c r="A172">
        <v>171</v>
      </c>
      <c r="B172" t="s">
        <v>143</v>
      </c>
      <c r="C172" t="s">
        <v>2272</v>
      </c>
    </row>
    <row r="173" spans="1:3" x14ac:dyDescent="0.25">
      <c r="A173">
        <v>172</v>
      </c>
      <c r="B173" t="s">
        <v>143</v>
      </c>
      <c r="C173" t="s">
        <v>2273</v>
      </c>
    </row>
    <row r="174" spans="1:3" x14ac:dyDescent="0.25">
      <c r="A174">
        <v>173</v>
      </c>
      <c r="B174" t="s">
        <v>143</v>
      </c>
      <c r="C174" t="s">
        <v>2274</v>
      </c>
    </row>
    <row r="175" spans="1:3" x14ac:dyDescent="0.25">
      <c r="A175">
        <v>174</v>
      </c>
      <c r="B175" t="s">
        <v>143</v>
      </c>
      <c r="C175" t="s">
        <v>2275</v>
      </c>
    </row>
    <row r="176" spans="1:3" x14ac:dyDescent="0.25">
      <c r="A176">
        <v>175</v>
      </c>
      <c r="B176" t="s">
        <v>143</v>
      </c>
      <c r="C176" t="s">
        <v>2276</v>
      </c>
    </row>
    <row r="177" spans="1:3" x14ac:dyDescent="0.25">
      <c r="A177">
        <v>176</v>
      </c>
      <c r="B177" t="s">
        <v>143</v>
      </c>
      <c r="C177" t="s">
        <v>2277</v>
      </c>
    </row>
    <row r="178" spans="1:3" x14ac:dyDescent="0.25">
      <c r="A178">
        <v>177</v>
      </c>
      <c r="B178" t="s">
        <v>143</v>
      </c>
      <c r="C178" t="s">
        <v>2278</v>
      </c>
    </row>
    <row r="179" spans="1:3" x14ac:dyDescent="0.25">
      <c r="A179">
        <v>178</v>
      </c>
      <c r="B179" t="s">
        <v>143</v>
      </c>
      <c r="C179" t="s">
        <v>2279</v>
      </c>
    </row>
    <row r="180" spans="1:3" x14ac:dyDescent="0.25">
      <c r="A180">
        <v>179</v>
      </c>
      <c r="B180" t="s">
        <v>143</v>
      </c>
      <c r="C180" t="s">
        <v>2280</v>
      </c>
    </row>
    <row r="181" spans="1:3" x14ac:dyDescent="0.25">
      <c r="A181">
        <v>180</v>
      </c>
      <c r="B181" t="s">
        <v>143</v>
      </c>
      <c r="C181" t="s">
        <v>2281</v>
      </c>
    </row>
    <row r="182" spans="1:3" x14ac:dyDescent="0.25">
      <c r="A182">
        <v>181</v>
      </c>
      <c r="B182" t="s">
        <v>143</v>
      </c>
      <c r="C182" t="s">
        <v>2282</v>
      </c>
    </row>
    <row r="183" spans="1:3" x14ac:dyDescent="0.25">
      <c r="A183">
        <v>182</v>
      </c>
      <c r="B183" t="s">
        <v>143</v>
      </c>
      <c r="C183" t="s">
        <v>2283</v>
      </c>
    </row>
    <row r="184" spans="1:3" x14ac:dyDescent="0.25">
      <c r="A184">
        <v>183</v>
      </c>
      <c r="B184" t="s">
        <v>143</v>
      </c>
      <c r="C184" t="s">
        <v>2284</v>
      </c>
    </row>
    <row r="185" spans="1:3" x14ac:dyDescent="0.25">
      <c r="A185">
        <v>184</v>
      </c>
      <c r="B185" t="s">
        <v>143</v>
      </c>
      <c r="C185" t="s">
        <v>2285</v>
      </c>
    </row>
    <row r="186" spans="1:3" x14ac:dyDescent="0.25">
      <c r="A186">
        <v>185</v>
      </c>
      <c r="B186" t="s">
        <v>143</v>
      </c>
      <c r="C186" t="s">
        <v>2286</v>
      </c>
    </row>
    <row r="187" spans="1:3" x14ac:dyDescent="0.25">
      <c r="A187">
        <v>186</v>
      </c>
      <c r="B187" t="s">
        <v>143</v>
      </c>
      <c r="C187" t="s">
        <v>2287</v>
      </c>
    </row>
    <row r="188" spans="1:3" x14ac:dyDescent="0.25">
      <c r="A188">
        <v>187</v>
      </c>
      <c r="B188" t="s">
        <v>143</v>
      </c>
      <c r="C188" t="s">
        <v>2288</v>
      </c>
    </row>
    <row r="189" spans="1:3" x14ac:dyDescent="0.25">
      <c r="A189">
        <v>188</v>
      </c>
      <c r="B189" t="s">
        <v>143</v>
      </c>
      <c r="C189" t="s">
        <v>2289</v>
      </c>
    </row>
    <row r="190" spans="1:3" x14ac:dyDescent="0.25">
      <c r="A190">
        <v>189</v>
      </c>
      <c r="B190" t="s">
        <v>143</v>
      </c>
      <c r="C190" t="s">
        <v>2290</v>
      </c>
    </row>
    <row r="191" spans="1:3" x14ac:dyDescent="0.25">
      <c r="A191">
        <v>190</v>
      </c>
      <c r="B191" t="s">
        <v>143</v>
      </c>
      <c r="C191" t="s">
        <v>2291</v>
      </c>
    </row>
    <row r="192" spans="1:3" x14ac:dyDescent="0.25">
      <c r="A192">
        <v>191</v>
      </c>
      <c r="B192" t="s">
        <v>143</v>
      </c>
      <c r="C192" t="s">
        <v>2292</v>
      </c>
    </row>
    <row r="193" spans="1:3" x14ac:dyDescent="0.25">
      <c r="A193">
        <v>192</v>
      </c>
      <c r="B193" t="s">
        <v>143</v>
      </c>
      <c r="C193" t="s">
        <v>2293</v>
      </c>
    </row>
    <row r="194" spans="1:3" x14ac:dyDescent="0.25">
      <c r="A194">
        <v>193</v>
      </c>
      <c r="B194" t="s">
        <v>143</v>
      </c>
      <c r="C194" t="s">
        <v>2294</v>
      </c>
    </row>
    <row r="195" spans="1:3" x14ac:dyDescent="0.25">
      <c r="A195">
        <v>194</v>
      </c>
      <c r="B195" t="s">
        <v>143</v>
      </c>
      <c r="C195" t="s">
        <v>2295</v>
      </c>
    </row>
    <row r="196" spans="1:3" x14ac:dyDescent="0.25">
      <c r="A196">
        <v>195</v>
      </c>
      <c r="B196" t="s">
        <v>143</v>
      </c>
      <c r="C196" t="s">
        <v>2296</v>
      </c>
    </row>
    <row r="197" spans="1:3" x14ac:dyDescent="0.25">
      <c r="A197">
        <v>196</v>
      </c>
      <c r="B197" t="s">
        <v>143</v>
      </c>
      <c r="C197" t="s">
        <v>2297</v>
      </c>
    </row>
    <row r="198" spans="1:3" x14ac:dyDescent="0.25">
      <c r="A198">
        <v>197</v>
      </c>
      <c r="B198" t="s">
        <v>143</v>
      </c>
      <c r="C198" t="s">
        <v>2298</v>
      </c>
    </row>
    <row r="199" spans="1:3" x14ac:dyDescent="0.25">
      <c r="A199">
        <v>198</v>
      </c>
      <c r="B199" t="s">
        <v>143</v>
      </c>
      <c r="C199" t="s">
        <v>2299</v>
      </c>
    </row>
    <row r="200" spans="1:3" x14ac:dyDescent="0.25">
      <c r="A200">
        <v>199</v>
      </c>
      <c r="B200" t="s">
        <v>143</v>
      </c>
      <c r="C200" t="s">
        <v>2300</v>
      </c>
    </row>
    <row r="201" spans="1:3" x14ac:dyDescent="0.25">
      <c r="A201">
        <v>200</v>
      </c>
      <c r="B201" t="s">
        <v>143</v>
      </c>
      <c r="C201" t="s">
        <v>2301</v>
      </c>
    </row>
    <row r="202" spans="1:3" x14ac:dyDescent="0.25">
      <c r="A202">
        <v>201</v>
      </c>
      <c r="B202" t="s">
        <v>143</v>
      </c>
      <c r="C202" t="s">
        <v>2302</v>
      </c>
    </row>
    <row r="203" spans="1:3" x14ac:dyDescent="0.25">
      <c r="A203">
        <v>202</v>
      </c>
      <c r="B203" t="s">
        <v>143</v>
      </c>
      <c r="C203" t="s">
        <v>2303</v>
      </c>
    </row>
    <row r="204" spans="1:3" x14ac:dyDescent="0.25">
      <c r="A204">
        <v>203</v>
      </c>
      <c r="B204" t="s">
        <v>143</v>
      </c>
      <c r="C204" t="s">
        <v>2304</v>
      </c>
    </row>
    <row r="205" spans="1:3" x14ac:dyDescent="0.25">
      <c r="A205">
        <v>204</v>
      </c>
      <c r="B205" t="s">
        <v>143</v>
      </c>
      <c r="C205" t="s">
        <v>2305</v>
      </c>
    </row>
    <row r="206" spans="1:3" x14ac:dyDescent="0.25">
      <c r="A206">
        <v>205</v>
      </c>
      <c r="B206" t="s">
        <v>143</v>
      </c>
      <c r="C206" t="s">
        <v>2306</v>
      </c>
    </row>
    <row r="207" spans="1:3" x14ac:dyDescent="0.25">
      <c r="A207">
        <v>206</v>
      </c>
      <c r="B207" t="s">
        <v>143</v>
      </c>
      <c r="C207" t="s">
        <v>2307</v>
      </c>
    </row>
    <row r="208" spans="1:3" x14ac:dyDescent="0.25">
      <c r="A208">
        <v>207</v>
      </c>
      <c r="B208" t="s">
        <v>143</v>
      </c>
      <c r="C208" t="s">
        <v>2308</v>
      </c>
    </row>
    <row r="209" spans="1:3" x14ac:dyDescent="0.25">
      <c r="A209">
        <v>208</v>
      </c>
      <c r="B209" t="s">
        <v>143</v>
      </c>
      <c r="C209" t="s">
        <v>2309</v>
      </c>
    </row>
    <row r="210" spans="1:3" x14ac:dyDescent="0.25">
      <c r="A210">
        <v>209</v>
      </c>
      <c r="B210" t="s">
        <v>143</v>
      </c>
      <c r="C210" t="s">
        <v>2310</v>
      </c>
    </row>
    <row r="211" spans="1:3" x14ac:dyDescent="0.25">
      <c r="A211">
        <v>210</v>
      </c>
      <c r="B211" t="s">
        <v>143</v>
      </c>
      <c r="C211" t="s">
        <v>2311</v>
      </c>
    </row>
    <row r="212" spans="1:3" x14ac:dyDescent="0.25">
      <c r="A212">
        <v>211</v>
      </c>
      <c r="B212" t="s">
        <v>143</v>
      </c>
      <c r="C212" t="s">
        <v>2312</v>
      </c>
    </row>
    <row r="213" spans="1:3" x14ac:dyDescent="0.25">
      <c r="A213">
        <v>212</v>
      </c>
      <c r="B213" t="s">
        <v>143</v>
      </c>
      <c r="C213" t="s">
        <v>2313</v>
      </c>
    </row>
    <row r="214" spans="1:3" x14ac:dyDescent="0.25">
      <c r="A214">
        <v>213</v>
      </c>
      <c r="B214" t="s">
        <v>143</v>
      </c>
      <c r="C214" t="s">
        <v>2314</v>
      </c>
    </row>
    <row r="215" spans="1:3" x14ac:dyDescent="0.25">
      <c r="A215">
        <v>214</v>
      </c>
      <c r="B215" t="s">
        <v>143</v>
      </c>
      <c r="C215" t="s">
        <v>2315</v>
      </c>
    </row>
    <row r="216" spans="1:3" x14ac:dyDescent="0.25">
      <c r="A216">
        <v>215</v>
      </c>
      <c r="B216" t="s">
        <v>143</v>
      </c>
      <c r="C216" t="s">
        <v>2316</v>
      </c>
    </row>
    <row r="217" spans="1:3" x14ac:dyDescent="0.25">
      <c r="A217">
        <v>216</v>
      </c>
      <c r="B217" t="s">
        <v>143</v>
      </c>
      <c r="C217" t="s">
        <v>2317</v>
      </c>
    </row>
    <row r="218" spans="1:3" x14ac:dyDescent="0.25">
      <c r="A218">
        <v>217</v>
      </c>
      <c r="B218" t="s">
        <v>143</v>
      </c>
      <c r="C218" t="s">
        <v>2318</v>
      </c>
    </row>
    <row r="219" spans="1:3" x14ac:dyDescent="0.25">
      <c r="A219">
        <v>218</v>
      </c>
      <c r="B219" t="s">
        <v>143</v>
      </c>
      <c r="C219" t="s">
        <v>2319</v>
      </c>
    </row>
    <row r="220" spans="1:3" x14ac:dyDescent="0.25">
      <c r="A220">
        <v>219</v>
      </c>
      <c r="B220" t="s">
        <v>143</v>
      </c>
      <c r="C220" t="s">
        <v>2320</v>
      </c>
    </row>
    <row r="221" spans="1:3" x14ac:dyDescent="0.25">
      <c r="A221">
        <v>220</v>
      </c>
      <c r="B221" t="s">
        <v>143</v>
      </c>
      <c r="C221" t="s">
        <v>2321</v>
      </c>
    </row>
    <row r="222" spans="1:3" x14ac:dyDescent="0.25">
      <c r="A222">
        <v>221</v>
      </c>
      <c r="B222" t="s">
        <v>143</v>
      </c>
      <c r="C222" t="s">
        <v>2322</v>
      </c>
    </row>
    <row r="223" spans="1:3" x14ac:dyDescent="0.25">
      <c r="A223">
        <v>222</v>
      </c>
      <c r="B223" t="s">
        <v>143</v>
      </c>
      <c r="C223" t="s">
        <v>2323</v>
      </c>
    </row>
    <row r="224" spans="1:3" x14ac:dyDescent="0.25">
      <c r="A224">
        <v>223</v>
      </c>
      <c r="B224" t="s">
        <v>143</v>
      </c>
      <c r="C224" t="s">
        <v>2324</v>
      </c>
    </row>
    <row r="225" spans="1:3" x14ac:dyDescent="0.25">
      <c r="A225">
        <v>224</v>
      </c>
      <c r="B225" t="s">
        <v>143</v>
      </c>
      <c r="C225" t="s">
        <v>2325</v>
      </c>
    </row>
    <row r="226" spans="1:3" x14ac:dyDescent="0.25">
      <c r="A226">
        <v>225</v>
      </c>
      <c r="B226" t="s">
        <v>143</v>
      </c>
      <c r="C226" t="s">
        <v>2326</v>
      </c>
    </row>
    <row r="227" spans="1:3" x14ac:dyDescent="0.25">
      <c r="A227">
        <v>226</v>
      </c>
      <c r="B227" t="s">
        <v>143</v>
      </c>
      <c r="C227" t="s">
        <v>2327</v>
      </c>
    </row>
    <row r="228" spans="1:3" x14ac:dyDescent="0.25">
      <c r="A228">
        <v>227</v>
      </c>
      <c r="B228" t="s">
        <v>143</v>
      </c>
      <c r="C228" t="s">
        <v>2328</v>
      </c>
    </row>
    <row r="229" spans="1:3" x14ac:dyDescent="0.25">
      <c r="A229">
        <v>228</v>
      </c>
      <c r="B229" t="s">
        <v>143</v>
      </c>
      <c r="C229" t="s">
        <v>2329</v>
      </c>
    </row>
    <row r="230" spans="1:3" x14ac:dyDescent="0.25">
      <c r="A230">
        <v>229</v>
      </c>
      <c r="B230" t="s">
        <v>143</v>
      </c>
      <c r="C230" t="s">
        <v>2330</v>
      </c>
    </row>
    <row r="231" spans="1:3" x14ac:dyDescent="0.25">
      <c r="A231">
        <v>230</v>
      </c>
      <c r="B231" t="s">
        <v>143</v>
      </c>
      <c r="C231" t="s">
        <v>2331</v>
      </c>
    </row>
    <row r="232" spans="1:3" x14ac:dyDescent="0.25">
      <c r="A232">
        <v>231</v>
      </c>
      <c r="B232" t="s">
        <v>143</v>
      </c>
      <c r="C232" t="s">
        <v>2332</v>
      </c>
    </row>
    <row r="233" spans="1:3" x14ac:dyDescent="0.25">
      <c r="A233">
        <v>232</v>
      </c>
      <c r="B233" t="s">
        <v>143</v>
      </c>
      <c r="C233" t="s">
        <v>2333</v>
      </c>
    </row>
    <row r="234" spans="1:3" x14ac:dyDescent="0.25">
      <c r="A234">
        <v>233</v>
      </c>
      <c r="B234" t="s">
        <v>143</v>
      </c>
      <c r="C234" t="s">
        <v>2334</v>
      </c>
    </row>
    <row r="235" spans="1:3" x14ac:dyDescent="0.25">
      <c r="A235">
        <v>234</v>
      </c>
      <c r="B235" t="s">
        <v>143</v>
      </c>
      <c r="C235" t="s">
        <v>2335</v>
      </c>
    </row>
    <row r="236" spans="1:3" x14ac:dyDescent="0.25">
      <c r="A236">
        <v>235</v>
      </c>
      <c r="B236" t="s">
        <v>143</v>
      </c>
      <c r="C236" t="s">
        <v>2336</v>
      </c>
    </row>
    <row r="237" spans="1:3" x14ac:dyDescent="0.25">
      <c r="A237">
        <v>236</v>
      </c>
      <c r="B237" t="s">
        <v>143</v>
      </c>
      <c r="C237" t="s">
        <v>2337</v>
      </c>
    </row>
    <row r="238" spans="1:3" x14ac:dyDescent="0.25">
      <c r="A238">
        <v>237</v>
      </c>
      <c r="B238" t="s">
        <v>143</v>
      </c>
      <c r="C238" t="s">
        <v>2338</v>
      </c>
    </row>
    <row r="239" spans="1:3" x14ac:dyDescent="0.25">
      <c r="A239">
        <v>238</v>
      </c>
      <c r="B239" t="s">
        <v>143</v>
      </c>
      <c r="C239" t="s">
        <v>2339</v>
      </c>
    </row>
    <row r="240" spans="1:3" x14ac:dyDescent="0.25">
      <c r="A240">
        <v>239</v>
      </c>
      <c r="B240" t="s">
        <v>143</v>
      </c>
      <c r="C240" t="s">
        <v>2340</v>
      </c>
    </row>
    <row r="241" spans="1:3" x14ac:dyDescent="0.25">
      <c r="A241">
        <v>240</v>
      </c>
      <c r="B241" t="s">
        <v>143</v>
      </c>
      <c r="C241" t="s">
        <v>2341</v>
      </c>
    </row>
    <row r="242" spans="1:3" x14ac:dyDescent="0.25">
      <c r="A242">
        <v>241</v>
      </c>
      <c r="B242" t="s">
        <v>143</v>
      </c>
      <c r="C242" t="s">
        <v>2342</v>
      </c>
    </row>
    <row r="243" spans="1:3" x14ac:dyDescent="0.25">
      <c r="A243">
        <v>242</v>
      </c>
      <c r="B243" t="s">
        <v>143</v>
      </c>
      <c r="C243" t="s">
        <v>2343</v>
      </c>
    </row>
    <row r="244" spans="1:3" x14ac:dyDescent="0.25">
      <c r="A244">
        <v>243</v>
      </c>
      <c r="B244" t="s">
        <v>143</v>
      </c>
      <c r="C244" t="s">
        <v>2344</v>
      </c>
    </row>
    <row r="245" spans="1:3" x14ac:dyDescent="0.25">
      <c r="A245">
        <v>244</v>
      </c>
      <c r="B245" t="s">
        <v>143</v>
      </c>
      <c r="C245" t="s">
        <v>2345</v>
      </c>
    </row>
    <row r="246" spans="1:3" x14ac:dyDescent="0.25">
      <c r="A246">
        <v>245</v>
      </c>
      <c r="B246" t="s">
        <v>143</v>
      </c>
      <c r="C246" t="s">
        <v>2346</v>
      </c>
    </row>
    <row r="247" spans="1:3" x14ac:dyDescent="0.25">
      <c r="A247">
        <v>246</v>
      </c>
      <c r="B247" t="s">
        <v>143</v>
      </c>
      <c r="C247" t="s">
        <v>2347</v>
      </c>
    </row>
    <row r="248" spans="1:3" x14ac:dyDescent="0.25">
      <c r="A248">
        <v>247</v>
      </c>
      <c r="B248" t="s">
        <v>143</v>
      </c>
      <c r="C248" t="s">
        <v>2348</v>
      </c>
    </row>
    <row r="249" spans="1:3" x14ac:dyDescent="0.25">
      <c r="A249">
        <v>248</v>
      </c>
      <c r="B249" t="s">
        <v>143</v>
      </c>
      <c r="C249" t="s">
        <v>2349</v>
      </c>
    </row>
    <row r="250" spans="1:3" x14ac:dyDescent="0.25">
      <c r="A250">
        <v>249</v>
      </c>
      <c r="B250" t="s">
        <v>143</v>
      </c>
      <c r="C250" t="s">
        <v>2350</v>
      </c>
    </row>
    <row r="251" spans="1:3" x14ac:dyDescent="0.25">
      <c r="A251">
        <v>250</v>
      </c>
      <c r="B251" t="s">
        <v>143</v>
      </c>
      <c r="C251" t="s">
        <v>2351</v>
      </c>
    </row>
    <row r="252" spans="1:3" x14ac:dyDescent="0.25">
      <c r="A252">
        <v>251</v>
      </c>
      <c r="B252" t="s">
        <v>143</v>
      </c>
      <c r="C252" t="s">
        <v>2352</v>
      </c>
    </row>
    <row r="253" spans="1:3" x14ac:dyDescent="0.25">
      <c r="A253">
        <v>252</v>
      </c>
      <c r="B253" t="s">
        <v>143</v>
      </c>
      <c r="C253" t="s">
        <v>2353</v>
      </c>
    </row>
    <row r="254" spans="1:3" x14ac:dyDescent="0.25">
      <c r="A254">
        <v>253</v>
      </c>
      <c r="B254" t="s">
        <v>143</v>
      </c>
      <c r="C254" t="s">
        <v>2354</v>
      </c>
    </row>
    <row r="255" spans="1:3" x14ac:dyDescent="0.25">
      <c r="A255">
        <v>254</v>
      </c>
      <c r="B255" t="s">
        <v>143</v>
      </c>
      <c r="C255" t="s">
        <v>2355</v>
      </c>
    </row>
    <row r="256" spans="1:3" x14ac:dyDescent="0.25">
      <c r="A256">
        <v>255</v>
      </c>
      <c r="B256" t="s">
        <v>143</v>
      </c>
      <c r="C256" t="s">
        <v>2356</v>
      </c>
    </row>
    <row r="257" spans="1:3" x14ac:dyDescent="0.25">
      <c r="A257">
        <v>256</v>
      </c>
      <c r="B257" t="s">
        <v>143</v>
      </c>
      <c r="C257" t="s">
        <v>2357</v>
      </c>
    </row>
    <row r="258" spans="1:3" x14ac:dyDescent="0.25">
      <c r="A258">
        <v>257</v>
      </c>
      <c r="B258" t="s">
        <v>143</v>
      </c>
      <c r="C258" t="s">
        <v>2358</v>
      </c>
    </row>
    <row r="259" spans="1:3" x14ac:dyDescent="0.25">
      <c r="A259">
        <v>258</v>
      </c>
      <c r="B259" t="s">
        <v>143</v>
      </c>
      <c r="C259" t="s">
        <v>2359</v>
      </c>
    </row>
    <row r="260" spans="1:3" x14ac:dyDescent="0.25">
      <c r="A260">
        <v>259</v>
      </c>
      <c r="B260" t="s">
        <v>143</v>
      </c>
      <c r="C260" t="s">
        <v>2360</v>
      </c>
    </row>
    <row r="261" spans="1:3" x14ac:dyDescent="0.25">
      <c r="A261">
        <v>260</v>
      </c>
      <c r="B261" t="s">
        <v>143</v>
      </c>
      <c r="C261" t="s">
        <v>2361</v>
      </c>
    </row>
    <row r="262" spans="1:3" x14ac:dyDescent="0.25">
      <c r="A262">
        <v>261</v>
      </c>
      <c r="B262" t="s">
        <v>143</v>
      </c>
      <c r="C262" t="s">
        <v>2362</v>
      </c>
    </row>
    <row r="263" spans="1:3" x14ac:dyDescent="0.25">
      <c r="A263">
        <v>262</v>
      </c>
      <c r="B263" t="s">
        <v>143</v>
      </c>
      <c r="C263" t="s">
        <v>2363</v>
      </c>
    </row>
    <row r="264" spans="1:3" x14ac:dyDescent="0.25">
      <c r="A264">
        <v>263</v>
      </c>
      <c r="B264" t="s">
        <v>143</v>
      </c>
      <c r="C264" t="s">
        <v>2364</v>
      </c>
    </row>
    <row r="265" spans="1:3" x14ac:dyDescent="0.25">
      <c r="A265">
        <v>264</v>
      </c>
      <c r="B265" t="s">
        <v>143</v>
      </c>
      <c r="C265" t="s">
        <v>2365</v>
      </c>
    </row>
    <row r="266" spans="1:3" x14ac:dyDescent="0.25">
      <c r="A266">
        <v>265</v>
      </c>
      <c r="B266" t="s">
        <v>143</v>
      </c>
      <c r="C266" t="s">
        <v>2366</v>
      </c>
    </row>
    <row r="267" spans="1:3" x14ac:dyDescent="0.25">
      <c r="A267">
        <v>266</v>
      </c>
      <c r="B267" t="s">
        <v>143</v>
      </c>
      <c r="C267" t="s">
        <v>2367</v>
      </c>
    </row>
    <row r="268" spans="1:3" x14ac:dyDescent="0.25">
      <c r="A268">
        <v>267</v>
      </c>
      <c r="B268" t="s">
        <v>143</v>
      </c>
      <c r="C268" t="s">
        <v>2368</v>
      </c>
    </row>
    <row r="269" spans="1:3" x14ac:dyDescent="0.25">
      <c r="A269">
        <v>268</v>
      </c>
      <c r="B269" t="s">
        <v>143</v>
      </c>
      <c r="C269" t="s">
        <v>2369</v>
      </c>
    </row>
    <row r="270" spans="1:3" x14ac:dyDescent="0.25">
      <c r="A270">
        <v>269</v>
      </c>
      <c r="B270" t="s">
        <v>143</v>
      </c>
      <c r="C270" t="s">
        <v>2370</v>
      </c>
    </row>
    <row r="271" spans="1:3" x14ac:dyDescent="0.25">
      <c r="A271">
        <v>270</v>
      </c>
      <c r="B271" t="s">
        <v>143</v>
      </c>
      <c r="C271" t="s">
        <v>2371</v>
      </c>
    </row>
    <row r="272" spans="1:3" x14ac:dyDescent="0.25">
      <c r="A272">
        <v>271</v>
      </c>
      <c r="B272" t="s">
        <v>143</v>
      </c>
      <c r="C272" t="s">
        <v>2372</v>
      </c>
    </row>
    <row r="273" spans="1:3" x14ac:dyDescent="0.25">
      <c r="A273">
        <v>272</v>
      </c>
      <c r="B273" t="s">
        <v>143</v>
      </c>
      <c r="C273" t="s">
        <v>2373</v>
      </c>
    </row>
    <row r="274" spans="1:3" x14ac:dyDescent="0.25">
      <c r="A274">
        <v>273</v>
      </c>
      <c r="B274" t="s">
        <v>143</v>
      </c>
      <c r="C274" t="s">
        <v>2374</v>
      </c>
    </row>
    <row r="275" spans="1:3" x14ac:dyDescent="0.25">
      <c r="A275">
        <v>274</v>
      </c>
      <c r="B275" t="s">
        <v>143</v>
      </c>
      <c r="C275" t="s">
        <v>2375</v>
      </c>
    </row>
    <row r="276" spans="1:3" x14ac:dyDescent="0.25">
      <c r="A276">
        <v>275</v>
      </c>
      <c r="B276" t="s">
        <v>143</v>
      </c>
      <c r="C276" t="s">
        <v>2376</v>
      </c>
    </row>
    <row r="277" spans="1:3" x14ac:dyDescent="0.25">
      <c r="A277">
        <v>276</v>
      </c>
      <c r="B277" t="s">
        <v>143</v>
      </c>
      <c r="C277" t="s">
        <v>2377</v>
      </c>
    </row>
    <row r="278" spans="1:3" x14ac:dyDescent="0.25">
      <c r="A278">
        <v>277</v>
      </c>
      <c r="B278" t="s">
        <v>143</v>
      </c>
      <c r="C278" t="s">
        <v>2378</v>
      </c>
    </row>
    <row r="279" spans="1:3" x14ac:dyDescent="0.25">
      <c r="A279">
        <v>278</v>
      </c>
      <c r="B279" t="s">
        <v>143</v>
      </c>
      <c r="C279" t="s">
        <v>2379</v>
      </c>
    </row>
    <row r="280" spans="1:3" x14ac:dyDescent="0.25">
      <c r="A280">
        <v>279</v>
      </c>
      <c r="B280" t="s">
        <v>143</v>
      </c>
      <c r="C280" t="s">
        <v>2380</v>
      </c>
    </row>
    <row r="281" spans="1:3" x14ac:dyDescent="0.25">
      <c r="A281">
        <v>280</v>
      </c>
      <c r="B281" t="s">
        <v>143</v>
      </c>
      <c r="C281" t="s">
        <v>2381</v>
      </c>
    </row>
    <row r="282" spans="1:3" x14ac:dyDescent="0.25">
      <c r="A282">
        <v>281</v>
      </c>
      <c r="B282" t="s">
        <v>143</v>
      </c>
      <c r="C282" t="s">
        <v>2382</v>
      </c>
    </row>
    <row r="283" spans="1:3" x14ac:dyDescent="0.25">
      <c r="A283">
        <v>282</v>
      </c>
      <c r="B283" t="s">
        <v>143</v>
      </c>
      <c r="C283" t="s">
        <v>2383</v>
      </c>
    </row>
    <row r="284" spans="1:3" x14ac:dyDescent="0.25">
      <c r="A284">
        <v>283</v>
      </c>
      <c r="B284" t="s">
        <v>143</v>
      </c>
      <c r="C284" t="s">
        <v>2384</v>
      </c>
    </row>
    <row r="285" spans="1:3" x14ac:dyDescent="0.25">
      <c r="A285">
        <v>284</v>
      </c>
      <c r="B285" t="s">
        <v>143</v>
      </c>
      <c r="C285" t="s">
        <v>2385</v>
      </c>
    </row>
    <row r="286" spans="1:3" x14ac:dyDescent="0.25">
      <c r="A286">
        <v>285</v>
      </c>
      <c r="B286" t="s">
        <v>143</v>
      </c>
      <c r="C286" t="s">
        <v>2386</v>
      </c>
    </row>
    <row r="287" spans="1:3" x14ac:dyDescent="0.25">
      <c r="A287">
        <v>286</v>
      </c>
      <c r="B287" t="s">
        <v>143</v>
      </c>
      <c r="C287" t="s">
        <v>2387</v>
      </c>
    </row>
    <row r="288" spans="1:3" x14ac:dyDescent="0.25">
      <c r="A288">
        <v>287</v>
      </c>
      <c r="B288" t="s">
        <v>143</v>
      </c>
      <c r="C288" t="s">
        <v>2388</v>
      </c>
    </row>
    <row r="289" spans="1:3" x14ac:dyDescent="0.25">
      <c r="A289">
        <v>288</v>
      </c>
      <c r="B289" t="s">
        <v>143</v>
      </c>
      <c r="C289" t="s">
        <v>2389</v>
      </c>
    </row>
    <row r="290" spans="1:3" x14ac:dyDescent="0.25">
      <c r="A290">
        <v>289</v>
      </c>
      <c r="B290" t="s">
        <v>143</v>
      </c>
      <c r="C290" t="s">
        <v>2390</v>
      </c>
    </row>
    <row r="291" spans="1:3" x14ac:dyDescent="0.25">
      <c r="A291">
        <v>290</v>
      </c>
      <c r="B291" t="s">
        <v>143</v>
      </c>
      <c r="C291" t="s">
        <v>2391</v>
      </c>
    </row>
    <row r="292" spans="1:3" x14ac:dyDescent="0.25">
      <c r="A292">
        <v>291</v>
      </c>
      <c r="B292" t="s">
        <v>143</v>
      </c>
      <c r="C292" t="s">
        <v>2392</v>
      </c>
    </row>
    <row r="293" spans="1:3" x14ac:dyDescent="0.25">
      <c r="A293">
        <v>292</v>
      </c>
      <c r="B293" t="s">
        <v>143</v>
      </c>
      <c r="C293" t="s">
        <v>2393</v>
      </c>
    </row>
    <row r="294" spans="1:3" x14ac:dyDescent="0.25">
      <c r="A294">
        <v>293</v>
      </c>
      <c r="B294" t="s">
        <v>143</v>
      </c>
      <c r="C294" t="s">
        <v>2394</v>
      </c>
    </row>
    <row r="295" spans="1:3" x14ac:dyDescent="0.25">
      <c r="A295">
        <v>294</v>
      </c>
      <c r="B295" t="s">
        <v>143</v>
      </c>
      <c r="C295" t="s">
        <v>2395</v>
      </c>
    </row>
    <row r="296" spans="1:3" x14ac:dyDescent="0.25">
      <c r="A296">
        <v>295</v>
      </c>
      <c r="B296" t="s">
        <v>143</v>
      </c>
      <c r="C296" t="s">
        <v>2396</v>
      </c>
    </row>
    <row r="297" spans="1:3" x14ac:dyDescent="0.25">
      <c r="A297">
        <v>296</v>
      </c>
      <c r="B297" t="s">
        <v>143</v>
      </c>
      <c r="C297" t="s">
        <v>2397</v>
      </c>
    </row>
    <row r="298" spans="1:3" x14ac:dyDescent="0.25">
      <c r="A298">
        <v>297</v>
      </c>
      <c r="B298" t="s">
        <v>143</v>
      </c>
      <c r="C298" t="s">
        <v>2398</v>
      </c>
    </row>
    <row r="299" spans="1:3" x14ac:dyDescent="0.25">
      <c r="A299">
        <v>298</v>
      </c>
      <c r="B299" t="s">
        <v>143</v>
      </c>
      <c r="C299" t="s">
        <v>2399</v>
      </c>
    </row>
    <row r="300" spans="1:3" x14ac:dyDescent="0.25">
      <c r="A300">
        <v>299</v>
      </c>
      <c r="B300" t="s">
        <v>143</v>
      </c>
      <c r="C300" t="s">
        <v>2400</v>
      </c>
    </row>
    <row r="301" spans="1:3" x14ac:dyDescent="0.25">
      <c r="A301">
        <v>300</v>
      </c>
      <c r="B301" t="s">
        <v>143</v>
      </c>
      <c r="C301" t="s">
        <v>2401</v>
      </c>
    </row>
    <row r="302" spans="1:3" x14ac:dyDescent="0.25">
      <c r="A302">
        <v>301</v>
      </c>
      <c r="B302" t="s">
        <v>143</v>
      </c>
      <c r="C302" t="s">
        <v>2402</v>
      </c>
    </row>
    <row r="303" spans="1:3" x14ac:dyDescent="0.25">
      <c r="A303">
        <v>302</v>
      </c>
      <c r="B303" t="s">
        <v>143</v>
      </c>
      <c r="C303" t="s">
        <v>2403</v>
      </c>
    </row>
    <row r="304" spans="1:3" x14ac:dyDescent="0.25">
      <c r="A304">
        <v>303</v>
      </c>
      <c r="B304" t="s">
        <v>143</v>
      </c>
      <c r="C304" t="s">
        <v>2404</v>
      </c>
    </row>
    <row r="305" spans="1:3" x14ac:dyDescent="0.25">
      <c r="A305">
        <v>304</v>
      </c>
      <c r="B305" t="s">
        <v>143</v>
      </c>
      <c r="C305" t="s">
        <v>2405</v>
      </c>
    </row>
    <row r="306" spans="1:3" x14ac:dyDescent="0.25">
      <c r="A306">
        <v>305</v>
      </c>
      <c r="B306" t="s">
        <v>143</v>
      </c>
      <c r="C306" t="s">
        <v>2406</v>
      </c>
    </row>
    <row r="307" spans="1:3" x14ac:dyDescent="0.25">
      <c r="A307">
        <v>306</v>
      </c>
      <c r="B307" t="s">
        <v>143</v>
      </c>
      <c r="C307" t="s">
        <v>2407</v>
      </c>
    </row>
    <row r="308" spans="1:3" x14ac:dyDescent="0.25">
      <c r="A308">
        <v>307</v>
      </c>
      <c r="B308" t="s">
        <v>143</v>
      </c>
      <c r="C308" t="s">
        <v>2408</v>
      </c>
    </row>
    <row r="309" spans="1:3" x14ac:dyDescent="0.25">
      <c r="A309">
        <v>308</v>
      </c>
      <c r="B309" t="s">
        <v>143</v>
      </c>
      <c r="C309" t="s">
        <v>2409</v>
      </c>
    </row>
    <row r="310" spans="1:3" x14ac:dyDescent="0.25">
      <c r="A310">
        <v>309</v>
      </c>
      <c r="B310" t="s">
        <v>143</v>
      </c>
      <c r="C310" t="s">
        <v>2410</v>
      </c>
    </row>
    <row r="311" spans="1:3" x14ac:dyDescent="0.25">
      <c r="A311">
        <v>310</v>
      </c>
      <c r="B311" t="s">
        <v>143</v>
      </c>
      <c r="C311" t="s">
        <v>2411</v>
      </c>
    </row>
    <row r="312" spans="1:3" x14ac:dyDescent="0.25">
      <c r="A312">
        <v>311</v>
      </c>
      <c r="B312" t="s">
        <v>143</v>
      </c>
      <c r="C312" t="s">
        <v>2412</v>
      </c>
    </row>
    <row r="313" spans="1:3" x14ac:dyDescent="0.25">
      <c r="A313">
        <v>312</v>
      </c>
      <c r="B313" t="s">
        <v>143</v>
      </c>
      <c r="C313" t="s">
        <v>2413</v>
      </c>
    </row>
    <row r="314" spans="1:3" x14ac:dyDescent="0.25">
      <c r="A314">
        <v>313</v>
      </c>
      <c r="B314" t="s">
        <v>143</v>
      </c>
      <c r="C314" t="s">
        <v>2414</v>
      </c>
    </row>
    <row r="315" spans="1:3" x14ac:dyDescent="0.25">
      <c r="A315">
        <v>314</v>
      </c>
      <c r="B315" t="s">
        <v>143</v>
      </c>
      <c r="C315" t="s">
        <v>2415</v>
      </c>
    </row>
    <row r="316" spans="1:3" x14ac:dyDescent="0.25">
      <c r="A316">
        <v>315</v>
      </c>
      <c r="B316" t="s">
        <v>143</v>
      </c>
      <c r="C316" t="s">
        <v>2416</v>
      </c>
    </row>
    <row r="317" spans="1:3" x14ac:dyDescent="0.25">
      <c r="A317">
        <v>316</v>
      </c>
      <c r="B317" t="s">
        <v>143</v>
      </c>
      <c r="C317" t="s">
        <v>2417</v>
      </c>
    </row>
    <row r="318" spans="1:3" x14ac:dyDescent="0.25">
      <c r="A318">
        <v>317</v>
      </c>
      <c r="B318" t="s">
        <v>143</v>
      </c>
      <c r="C318" t="s">
        <v>2418</v>
      </c>
    </row>
    <row r="319" spans="1:3" x14ac:dyDescent="0.25">
      <c r="A319">
        <v>318</v>
      </c>
      <c r="B319" t="s">
        <v>143</v>
      </c>
      <c r="C319" t="s">
        <v>2419</v>
      </c>
    </row>
    <row r="320" spans="1:3" x14ac:dyDescent="0.25">
      <c r="A320">
        <v>319</v>
      </c>
      <c r="B320" t="s">
        <v>143</v>
      </c>
      <c r="C320" t="s">
        <v>2420</v>
      </c>
    </row>
    <row r="321" spans="1:3" x14ac:dyDescent="0.25">
      <c r="A321">
        <v>320</v>
      </c>
      <c r="B321" t="s">
        <v>143</v>
      </c>
      <c r="C321" t="s">
        <v>2421</v>
      </c>
    </row>
    <row r="322" spans="1:3" x14ac:dyDescent="0.25">
      <c r="A322">
        <v>321</v>
      </c>
      <c r="B322" t="s">
        <v>143</v>
      </c>
      <c r="C322" t="s">
        <v>2422</v>
      </c>
    </row>
    <row r="323" spans="1:3" x14ac:dyDescent="0.25">
      <c r="A323">
        <v>322</v>
      </c>
      <c r="B323" t="s">
        <v>143</v>
      </c>
      <c r="C323" t="s">
        <v>2423</v>
      </c>
    </row>
    <row r="324" spans="1:3" x14ac:dyDescent="0.25">
      <c r="A324">
        <v>323</v>
      </c>
      <c r="B324" t="s">
        <v>143</v>
      </c>
      <c r="C324" t="s">
        <v>2424</v>
      </c>
    </row>
    <row r="325" spans="1:3" x14ac:dyDescent="0.25">
      <c r="A325">
        <v>324</v>
      </c>
      <c r="B325" t="s">
        <v>143</v>
      </c>
      <c r="C325" t="s">
        <v>2425</v>
      </c>
    </row>
    <row r="326" spans="1:3" x14ac:dyDescent="0.25">
      <c r="A326">
        <v>325</v>
      </c>
      <c r="B326" t="s">
        <v>143</v>
      </c>
      <c r="C326" t="s">
        <v>2426</v>
      </c>
    </row>
    <row r="327" spans="1:3" x14ac:dyDescent="0.25">
      <c r="A327">
        <v>326</v>
      </c>
      <c r="B327" t="s">
        <v>143</v>
      </c>
      <c r="C327" t="s">
        <v>2427</v>
      </c>
    </row>
    <row r="328" spans="1:3" x14ac:dyDescent="0.25">
      <c r="A328">
        <v>327</v>
      </c>
      <c r="B328" t="s">
        <v>143</v>
      </c>
      <c r="C328" t="s">
        <v>2428</v>
      </c>
    </row>
    <row r="329" spans="1:3" x14ac:dyDescent="0.25">
      <c r="A329">
        <v>328</v>
      </c>
      <c r="B329" t="s">
        <v>143</v>
      </c>
      <c r="C329" t="s">
        <v>2429</v>
      </c>
    </row>
    <row r="330" spans="1:3" x14ac:dyDescent="0.25">
      <c r="A330">
        <v>329</v>
      </c>
      <c r="B330" t="s">
        <v>143</v>
      </c>
      <c r="C330" t="s">
        <v>2430</v>
      </c>
    </row>
    <row r="331" spans="1:3" x14ac:dyDescent="0.25">
      <c r="A331">
        <v>330</v>
      </c>
      <c r="B331" t="s">
        <v>143</v>
      </c>
      <c r="C331" t="s">
        <v>2431</v>
      </c>
    </row>
    <row r="332" spans="1:3" x14ac:dyDescent="0.25">
      <c r="A332">
        <v>331</v>
      </c>
      <c r="B332" t="s">
        <v>143</v>
      </c>
      <c r="C332" t="s">
        <v>2432</v>
      </c>
    </row>
    <row r="333" spans="1:3" x14ac:dyDescent="0.25">
      <c r="A333">
        <v>332</v>
      </c>
      <c r="B333" t="s">
        <v>143</v>
      </c>
      <c r="C333" t="s">
        <v>2433</v>
      </c>
    </row>
    <row r="334" spans="1:3" x14ac:dyDescent="0.25">
      <c r="A334">
        <v>333</v>
      </c>
      <c r="B334" t="s">
        <v>143</v>
      </c>
      <c r="C334" t="s">
        <v>2434</v>
      </c>
    </row>
    <row r="335" spans="1:3" x14ac:dyDescent="0.25">
      <c r="A335">
        <v>334</v>
      </c>
      <c r="B335" t="s">
        <v>143</v>
      </c>
      <c r="C335" t="s">
        <v>2435</v>
      </c>
    </row>
    <row r="336" spans="1:3" x14ac:dyDescent="0.25">
      <c r="A336">
        <v>335</v>
      </c>
      <c r="B336" t="s">
        <v>143</v>
      </c>
      <c r="C336" t="s">
        <v>2436</v>
      </c>
    </row>
    <row r="337" spans="1:3" x14ac:dyDescent="0.25">
      <c r="A337">
        <v>336</v>
      </c>
      <c r="B337" t="s">
        <v>143</v>
      </c>
      <c r="C337" t="s">
        <v>2437</v>
      </c>
    </row>
    <row r="338" spans="1:3" x14ac:dyDescent="0.25">
      <c r="A338">
        <v>337</v>
      </c>
      <c r="B338" t="s">
        <v>143</v>
      </c>
      <c r="C338" t="s">
        <v>2438</v>
      </c>
    </row>
    <row r="339" spans="1:3" x14ac:dyDescent="0.25">
      <c r="A339">
        <v>338</v>
      </c>
      <c r="B339" t="s">
        <v>143</v>
      </c>
      <c r="C339" t="s">
        <v>2439</v>
      </c>
    </row>
    <row r="340" spans="1:3" x14ac:dyDescent="0.25">
      <c r="A340">
        <v>339</v>
      </c>
      <c r="B340" t="s">
        <v>143</v>
      </c>
      <c r="C340" t="s">
        <v>2440</v>
      </c>
    </row>
    <row r="341" spans="1:3" x14ac:dyDescent="0.25">
      <c r="A341">
        <v>340</v>
      </c>
      <c r="B341" t="s">
        <v>143</v>
      </c>
      <c r="C341" t="s">
        <v>2441</v>
      </c>
    </row>
    <row r="342" spans="1:3" x14ac:dyDescent="0.25">
      <c r="A342">
        <v>341</v>
      </c>
      <c r="B342" t="s">
        <v>143</v>
      </c>
      <c r="C342" t="s">
        <v>2442</v>
      </c>
    </row>
    <row r="343" spans="1:3" x14ac:dyDescent="0.25">
      <c r="A343">
        <v>342</v>
      </c>
      <c r="B343" t="s">
        <v>143</v>
      </c>
      <c r="C343" t="s">
        <v>2443</v>
      </c>
    </row>
    <row r="344" spans="1:3" x14ac:dyDescent="0.25">
      <c r="A344">
        <v>343</v>
      </c>
      <c r="B344" t="s">
        <v>143</v>
      </c>
      <c r="C344" t="s">
        <v>2444</v>
      </c>
    </row>
    <row r="345" spans="1:3" x14ac:dyDescent="0.25">
      <c r="A345">
        <v>344</v>
      </c>
      <c r="B345" t="s">
        <v>143</v>
      </c>
      <c r="C345" t="s">
        <v>2445</v>
      </c>
    </row>
    <row r="346" spans="1:3" x14ac:dyDescent="0.25">
      <c r="A346">
        <v>345</v>
      </c>
      <c r="B346" t="s">
        <v>143</v>
      </c>
      <c r="C346" t="s">
        <v>2446</v>
      </c>
    </row>
    <row r="347" spans="1:3" x14ac:dyDescent="0.25">
      <c r="A347">
        <v>346</v>
      </c>
      <c r="B347" t="s">
        <v>143</v>
      </c>
      <c r="C347" t="s">
        <v>2447</v>
      </c>
    </row>
    <row r="348" spans="1:3" x14ac:dyDescent="0.25">
      <c r="A348">
        <v>347</v>
      </c>
      <c r="B348" t="s">
        <v>143</v>
      </c>
      <c r="C348" t="s">
        <v>2448</v>
      </c>
    </row>
    <row r="349" spans="1:3" x14ac:dyDescent="0.25">
      <c r="A349">
        <v>348</v>
      </c>
      <c r="B349" t="s">
        <v>143</v>
      </c>
      <c r="C349" t="s">
        <v>2449</v>
      </c>
    </row>
    <row r="350" spans="1:3" x14ac:dyDescent="0.25">
      <c r="A350">
        <v>349</v>
      </c>
      <c r="B350" t="s">
        <v>143</v>
      </c>
      <c r="C350" t="s">
        <v>2450</v>
      </c>
    </row>
    <row r="351" spans="1:3" x14ac:dyDescent="0.25">
      <c r="A351">
        <v>350</v>
      </c>
      <c r="B351" t="s">
        <v>143</v>
      </c>
      <c r="C351" t="s">
        <v>2451</v>
      </c>
    </row>
    <row r="352" spans="1:3" x14ac:dyDescent="0.25">
      <c r="A352">
        <v>351</v>
      </c>
      <c r="B352" t="s">
        <v>143</v>
      </c>
      <c r="C352" t="s">
        <v>2452</v>
      </c>
    </row>
    <row r="353" spans="1:3" x14ac:dyDescent="0.25">
      <c r="A353">
        <v>352</v>
      </c>
      <c r="B353" t="s">
        <v>143</v>
      </c>
      <c r="C353" t="s">
        <v>2453</v>
      </c>
    </row>
    <row r="354" spans="1:3" x14ac:dyDescent="0.25">
      <c r="A354">
        <v>353</v>
      </c>
      <c r="B354" t="s">
        <v>143</v>
      </c>
      <c r="C354" t="s">
        <v>2454</v>
      </c>
    </row>
    <row r="355" spans="1:3" x14ac:dyDescent="0.25">
      <c r="A355">
        <v>354</v>
      </c>
      <c r="B355" t="s">
        <v>143</v>
      </c>
      <c r="C355" t="s">
        <v>2455</v>
      </c>
    </row>
    <row r="356" spans="1:3" x14ac:dyDescent="0.25">
      <c r="A356">
        <v>355</v>
      </c>
      <c r="B356" t="s">
        <v>143</v>
      </c>
      <c r="C356" t="s">
        <v>2456</v>
      </c>
    </row>
    <row r="357" spans="1:3" x14ac:dyDescent="0.25">
      <c r="A357">
        <v>356</v>
      </c>
      <c r="B357" t="s">
        <v>143</v>
      </c>
      <c r="C357" t="s">
        <v>2457</v>
      </c>
    </row>
    <row r="358" spans="1:3" x14ac:dyDescent="0.25">
      <c r="A358">
        <v>357</v>
      </c>
      <c r="B358" t="s">
        <v>143</v>
      </c>
      <c r="C358" t="s">
        <v>2458</v>
      </c>
    </row>
    <row r="359" spans="1:3" x14ac:dyDescent="0.25">
      <c r="A359">
        <v>358</v>
      </c>
      <c r="B359" t="s">
        <v>143</v>
      </c>
      <c r="C359" t="s">
        <v>2459</v>
      </c>
    </row>
    <row r="360" spans="1:3" x14ac:dyDescent="0.25">
      <c r="A360">
        <v>359</v>
      </c>
      <c r="B360" t="s">
        <v>143</v>
      </c>
      <c r="C360" t="s">
        <v>2460</v>
      </c>
    </row>
    <row r="361" spans="1:3" x14ac:dyDescent="0.25">
      <c r="A361">
        <v>360</v>
      </c>
      <c r="B361" t="s">
        <v>143</v>
      </c>
      <c r="C361" t="s">
        <v>2461</v>
      </c>
    </row>
    <row r="362" spans="1:3" x14ac:dyDescent="0.25">
      <c r="A362">
        <v>361</v>
      </c>
      <c r="B362" t="s">
        <v>143</v>
      </c>
      <c r="C362" t="s">
        <v>2462</v>
      </c>
    </row>
    <row r="363" spans="1:3" x14ac:dyDescent="0.25">
      <c r="A363">
        <v>362</v>
      </c>
      <c r="B363" t="s">
        <v>143</v>
      </c>
      <c r="C363" t="s">
        <v>2463</v>
      </c>
    </row>
    <row r="364" spans="1:3" x14ac:dyDescent="0.25">
      <c r="A364">
        <v>363</v>
      </c>
      <c r="B364" t="s">
        <v>143</v>
      </c>
      <c r="C364" t="s">
        <v>2464</v>
      </c>
    </row>
    <row r="365" spans="1:3" x14ac:dyDescent="0.25">
      <c r="A365">
        <v>364</v>
      </c>
      <c r="B365" t="s">
        <v>143</v>
      </c>
      <c r="C365" t="s">
        <v>2465</v>
      </c>
    </row>
    <row r="366" spans="1:3" x14ac:dyDescent="0.25">
      <c r="A366">
        <v>365</v>
      </c>
      <c r="B366" t="s">
        <v>143</v>
      </c>
      <c r="C366" t="s">
        <v>2466</v>
      </c>
    </row>
    <row r="367" spans="1:3" x14ac:dyDescent="0.25">
      <c r="A367">
        <v>366</v>
      </c>
      <c r="B367" t="s">
        <v>143</v>
      </c>
      <c r="C367" t="s">
        <v>2467</v>
      </c>
    </row>
    <row r="368" spans="1:3" x14ac:dyDescent="0.25">
      <c r="A368">
        <v>367</v>
      </c>
      <c r="B368" t="s">
        <v>143</v>
      </c>
      <c r="C368" t="s">
        <v>2468</v>
      </c>
    </row>
    <row r="369" spans="1:3" x14ac:dyDescent="0.25">
      <c r="A369">
        <v>368</v>
      </c>
      <c r="B369" t="s">
        <v>143</v>
      </c>
      <c r="C369" t="s">
        <v>2469</v>
      </c>
    </row>
    <row r="370" spans="1:3" x14ac:dyDescent="0.25">
      <c r="A370">
        <v>369</v>
      </c>
      <c r="B370" t="s">
        <v>143</v>
      </c>
      <c r="C370" t="s">
        <v>2470</v>
      </c>
    </row>
    <row r="371" spans="1:3" x14ac:dyDescent="0.25">
      <c r="A371">
        <v>370</v>
      </c>
      <c r="B371" t="s">
        <v>143</v>
      </c>
      <c r="C371" t="s">
        <v>2471</v>
      </c>
    </row>
    <row r="372" spans="1:3" x14ac:dyDescent="0.25">
      <c r="A372">
        <v>371</v>
      </c>
      <c r="B372" t="s">
        <v>143</v>
      </c>
      <c r="C372" t="s">
        <v>2472</v>
      </c>
    </row>
    <row r="373" spans="1:3" x14ac:dyDescent="0.25">
      <c r="A373">
        <v>372</v>
      </c>
      <c r="B373" t="s">
        <v>143</v>
      </c>
      <c r="C373" t="s">
        <v>2473</v>
      </c>
    </row>
    <row r="374" spans="1:3" x14ac:dyDescent="0.25">
      <c r="A374">
        <v>373</v>
      </c>
      <c r="B374" t="s">
        <v>143</v>
      </c>
      <c r="C374" t="s">
        <v>2474</v>
      </c>
    </row>
    <row r="375" spans="1:3" x14ac:dyDescent="0.25">
      <c r="A375">
        <v>374</v>
      </c>
      <c r="B375" t="s">
        <v>143</v>
      </c>
      <c r="C375" t="s">
        <v>2475</v>
      </c>
    </row>
    <row r="376" spans="1:3" x14ac:dyDescent="0.25">
      <c r="A376">
        <v>375</v>
      </c>
      <c r="B376" t="s">
        <v>143</v>
      </c>
      <c r="C376" t="s">
        <v>2476</v>
      </c>
    </row>
    <row r="377" spans="1:3" x14ac:dyDescent="0.25">
      <c r="A377">
        <v>376</v>
      </c>
      <c r="B377" t="s">
        <v>143</v>
      </c>
      <c r="C377" t="s">
        <v>2477</v>
      </c>
    </row>
    <row r="378" spans="1:3" x14ac:dyDescent="0.25">
      <c r="A378">
        <v>377</v>
      </c>
      <c r="B378" t="s">
        <v>143</v>
      </c>
      <c r="C378" t="s">
        <v>2478</v>
      </c>
    </row>
    <row r="379" spans="1:3" x14ac:dyDescent="0.25">
      <c r="A379">
        <v>378</v>
      </c>
      <c r="B379" t="s">
        <v>143</v>
      </c>
      <c r="C379" t="s">
        <v>2479</v>
      </c>
    </row>
    <row r="380" spans="1:3" x14ac:dyDescent="0.25">
      <c r="A380">
        <v>379</v>
      </c>
      <c r="B380" t="s">
        <v>143</v>
      </c>
      <c r="C380" t="s">
        <v>2480</v>
      </c>
    </row>
    <row r="381" spans="1:3" x14ac:dyDescent="0.25">
      <c r="A381">
        <v>380</v>
      </c>
      <c r="B381" t="s">
        <v>143</v>
      </c>
      <c r="C381" t="s">
        <v>2481</v>
      </c>
    </row>
    <row r="382" spans="1:3" x14ac:dyDescent="0.25">
      <c r="A382">
        <v>381</v>
      </c>
      <c r="B382" t="s">
        <v>143</v>
      </c>
      <c r="C382" t="s">
        <v>2482</v>
      </c>
    </row>
    <row r="383" spans="1:3" x14ac:dyDescent="0.25">
      <c r="A383">
        <v>382</v>
      </c>
      <c r="B383" t="s">
        <v>143</v>
      </c>
      <c r="C383" t="s">
        <v>2483</v>
      </c>
    </row>
    <row r="384" spans="1:3" x14ac:dyDescent="0.25">
      <c r="A384">
        <v>383</v>
      </c>
      <c r="B384" t="s">
        <v>143</v>
      </c>
      <c r="C384" t="s">
        <v>2484</v>
      </c>
    </row>
    <row r="385" spans="1:3" x14ac:dyDescent="0.25">
      <c r="A385">
        <v>384</v>
      </c>
      <c r="B385" t="s">
        <v>143</v>
      </c>
      <c r="C385" t="s">
        <v>2485</v>
      </c>
    </row>
    <row r="386" spans="1:3" x14ac:dyDescent="0.25">
      <c r="A386">
        <v>385</v>
      </c>
      <c r="B386" t="s">
        <v>143</v>
      </c>
      <c r="C386" t="s">
        <v>2486</v>
      </c>
    </row>
    <row r="387" spans="1:3" x14ac:dyDescent="0.25">
      <c r="A387">
        <v>386</v>
      </c>
      <c r="B387" t="s">
        <v>143</v>
      </c>
      <c r="C387" t="s">
        <v>2487</v>
      </c>
    </row>
    <row r="388" spans="1:3" x14ac:dyDescent="0.25">
      <c r="A388">
        <v>387</v>
      </c>
      <c r="B388" t="s">
        <v>143</v>
      </c>
      <c r="C388" t="s">
        <v>2488</v>
      </c>
    </row>
    <row r="389" spans="1:3" x14ac:dyDescent="0.25">
      <c r="A389">
        <v>388</v>
      </c>
      <c r="B389" t="s">
        <v>143</v>
      </c>
      <c r="C389" t="s">
        <v>2489</v>
      </c>
    </row>
    <row r="390" spans="1:3" x14ac:dyDescent="0.25">
      <c r="A390">
        <v>389</v>
      </c>
      <c r="B390" t="s">
        <v>143</v>
      </c>
      <c r="C390" t="s">
        <v>2490</v>
      </c>
    </row>
    <row r="391" spans="1:3" x14ac:dyDescent="0.25">
      <c r="A391">
        <v>390</v>
      </c>
      <c r="B391" t="s">
        <v>143</v>
      </c>
      <c r="C391" t="s">
        <v>2491</v>
      </c>
    </row>
    <row r="392" spans="1:3" x14ac:dyDescent="0.25">
      <c r="A392">
        <v>391</v>
      </c>
      <c r="B392" t="s">
        <v>143</v>
      </c>
      <c r="C392" t="s">
        <v>2492</v>
      </c>
    </row>
    <row r="393" spans="1:3" x14ac:dyDescent="0.25">
      <c r="A393">
        <v>392</v>
      </c>
      <c r="B393" t="s">
        <v>143</v>
      </c>
      <c r="C393" t="s">
        <v>2493</v>
      </c>
    </row>
    <row r="394" spans="1:3" x14ac:dyDescent="0.25">
      <c r="A394">
        <v>393</v>
      </c>
      <c r="B394" t="s">
        <v>143</v>
      </c>
      <c r="C394" t="s">
        <v>2494</v>
      </c>
    </row>
    <row r="395" spans="1:3" x14ac:dyDescent="0.25">
      <c r="A395">
        <v>394</v>
      </c>
      <c r="B395" t="s">
        <v>143</v>
      </c>
      <c r="C395" t="s">
        <v>2495</v>
      </c>
    </row>
    <row r="396" spans="1:3" x14ac:dyDescent="0.25">
      <c r="A396">
        <v>395</v>
      </c>
      <c r="B396" t="s">
        <v>143</v>
      </c>
      <c r="C396" t="s">
        <v>2496</v>
      </c>
    </row>
    <row r="397" spans="1:3" x14ac:dyDescent="0.25">
      <c r="A397">
        <v>396</v>
      </c>
      <c r="B397" t="s">
        <v>143</v>
      </c>
      <c r="C397" t="s">
        <v>2497</v>
      </c>
    </row>
    <row r="398" spans="1:3" x14ac:dyDescent="0.25">
      <c r="A398">
        <v>397</v>
      </c>
      <c r="B398" t="s">
        <v>143</v>
      </c>
      <c r="C398" t="s">
        <v>2498</v>
      </c>
    </row>
    <row r="399" spans="1:3" x14ac:dyDescent="0.25">
      <c r="A399">
        <v>398</v>
      </c>
      <c r="B399" t="s">
        <v>143</v>
      </c>
      <c r="C399" t="s">
        <v>2499</v>
      </c>
    </row>
    <row r="400" spans="1:3" x14ac:dyDescent="0.25">
      <c r="A400">
        <v>399</v>
      </c>
      <c r="B400" t="s">
        <v>143</v>
      </c>
      <c r="C400" t="s">
        <v>2500</v>
      </c>
    </row>
    <row r="401" spans="1:3" x14ac:dyDescent="0.25">
      <c r="A401">
        <v>400</v>
      </c>
      <c r="B401" t="s">
        <v>143</v>
      </c>
      <c r="C401" t="s">
        <v>2501</v>
      </c>
    </row>
    <row r="402" spans="1:3" x14ac:dyDescent="0.25">
      <c r="A402">
        <v>401</v>
      </c>
      <c r="B402" t="s">
        <v>143</v>
      </c>
      <c r="C402" t="s">
        <v>2502</v>
      </c>
    </row>
    <row r="403" spans="1:3" x14ac:dyDescent="0.25">
      <c r="A403">
        <v>402</v>
      </c>
      <c r="B403" t="s">
        <v>143</v>
      </c>
      <c r="C403" t="s">
        <v>2503</v>
      </c>
    </row>
    <row r="404" spans="1:3" x14ac:dyDescent="0.25">
      <c r="A404">
        <v>403</v>
      </c>
      <c r="B404" t="s">
        <v>143</v>
      </c>
      <c r="C404" t="s">
        <v>2504</v>
      </c>
    </row>
    <row r="405" spans="1:3" x14ac:dyDescent="0.25">
      <c r="A405">
        <v>404</v>
      </c>
      <c r="B405" t="s">
        <v>143</v>
      </c>
      <c r="C405" t="s">
        <v>2505</v>
      </c>
    </row>
    <row r="406" spans="1:3" x14ac:dyDescent="0.25">
      <c r="A406">
        <v>405</v>
      </c>
      <c r="B406" t="s">
        <v>143</v>
      </c>
      <c r="C406" t="s">
        <v>2506</v>
      </c>
    </row>
    <row r="407" spans="1:3" x14ac:dyDescent="0.25">
      <c r="A407">
        <v>406</v>
      </c>
      <c r="B407" t="s">
        <v>143</v>
      </c>
      <c r="C407" t="s">
        <v>2507</v>
      </c>
    </row>
    <row r="408" spans="1:3" x14ac:dyDescent="0.25">
      <c r="A408">
        <v>407</v>
      </c>
      <c r="B408" t="s">
        <v>143</v>
      </c>
      <c r="C408" t="s">
        <v>2508</v>
      </c>
    </row>
    <row r="409" spans="1:3" x14ac:dyDescent="0.25">
      <c r="A409">
        <v>408</v>
      </c>
      <c r="B409" t="s">
        <v>143</v>
      </c>
      <c r="C409" t="s">
        <v>2509</v>
      </c>
    </row>
    <row r="410" spans="1:3" x14ac:dyDescent="0.25">
      <c r="A410">
        <v>409</v>
      </c>
      <c r="B410" t="s">
        <v>143</v>
      </c>
      <c r="C410" t="s">
        <v>2510</v>
      </c>
    </row>
    <row r="411" spans="1:3" x14ac:dyDescent="0.25">
      <c r="A411">
        <v>410</v>
      </c>
      <c r="B411" t="s">
        <v>143</v>
      </c>
      <c r="C411" t="s">
        <v>2511</v>
      </c>
    </row>
    <row r="412" spans="1:3" x14ac:dyDescent="0.25">
      <c r="A412">
        <v>411</v>
      </c>
      <c r="B412" t="s">
        <v>143</v>
      </c>
      <c r="C412" t="s">
        <v>2512</v>
      </c>
    </row>
    <row r="413" spans="1:3" x14ac:dyDescent="0.25">
      <c r="A413">
        <v>412</v>
      </c>
      <c r="B413" t="s">
        <v>143</v>
      </c>
      <c r="C413" t="s">
        <v>2513</v>
      </c>
    </row>
    <row r="414" spans="1:3" x14ac:dyDescent="0.25">
      <c r="A414">
        <v>413</v>
      </c>
      <c r="B414" t="s">
        <v>143</v>
      </c>
      <c r="C414" t="s">
        <v>2514</v>
      </c>
    </row>
    <row r="415" spans="1:3" x14ac:dyDescent="0.25">
      <c r="A415">
        <v>414</v>
      </c>
      <c r="B415" t="s">
        <v>143</v>
      </c>
      <c r="C415" t="s">
        <v>2515</v>
      </c>
    </row>
    <row r="416" spans="1:3" x14ac:dyDescent="0.25">
      <c r="A416">
        <v>415</v>
      </c>
      <c r="B416" t="s">
        <v>143</v>
      </c>
      <c r="C416" t="s">
        <v>2516</v>
      </c>
    </row>
    <row r="417" spans="1:3" x14ac:dyDescent="0.25">
      <c r="A417">
        <v>416</v>
      </c>
      <c r="B417" t="s">
        <v>143</v>
      </c>
      <c r="C417" t="s">
        <v>2517</v>
      </c>
    </row>
    <row r="418" spans="1:3" x14ac:dyDescent="0.25">
      <c r="A418">
        <v>417</v>
      </c>
      <c r="B418" t="s">
        <v>143</v>
      </c>
      <c r="C418" t="s">
        <v>2518</v>
      </c>
    </row>
    <row r="419" spans="1:3" x14ac:dyDescent="0.25">
      <c r="A419">
        <v>418</v>
      </c>
      <c r="B419" t="s">
        <v>143</v>
      </c>
      <c r="C419" t="s">
        <v>2519</v>
      </c>
    </row>
    <row r="420" spans="1:3" x14ac:dyDescent="0.25">
      <c r="A420">
        <v>419</v>
      </c>
      <c r="B420" t="s">
        <v>143</v>
      </c>
      <c r="C420" t="s">
        <v>2520</v>
      </c>
    </row>
    <row r="421" spans="1:3" x14ac:dyDescent="0.25">
      <c r="A421">
        <v>420</v>
      </c>
      <c r="B421" t="s">
        <v>143</v>
      </c>
      <c r="C421" t="s">
        <v>2521</v>
      </c>
    </row>
    <row r="422" spans="1:3" x14ac:dyDescent="0.25">
      <c r="A422">
        <v>421</v>
      </c>
      <c r="B422" t="s">
        <v>143</v>
      </c>
      <c r="C422" t="s">
        <v>2522</v>
      </c>
    </row>
    <row r="423" spans="1:3" x14ac:dyDescent="0.25">
      <c r="A423">
        <v>422</v>
      </c>
      <c r="B423" t="s">
        <v>143</v>
      </c>
      <c r="C423" t="s">
        <v>2523</v>
      </c>
    </row>
    <row r="424" spans="1:3" x14ac:dyDescent="0.25">
      <c r="A424">
        <v>423</v>
      </c>
      <c r="B424" t="s">
        <v>143</v>
      </c>
      <c r="C424" t="s">
        <v>2524</v>
      </c>
    </row>
    <row r="425" spans="1:3" x14ac:dyDescent="0.25">
      <c r="A425">
        <v>424</v>
      </c>
      <c r="B425" t="s">
        <v>143</v>
      </c>
      <c r="C425" t="s">
        <v>2525</v>
      </c>
    </row>
    <row r="426" spans="1:3" x14ac:dyDescent="0.25">
      <c r="A426">
        <v>425</v>
      </c>
      <c r="B426" t="s">
        <v>143</v>
      </c>
      <c r="C426" t="s">
        <v>2526</v>
      </c>
    </row>
    <row r="427" spans="1:3" x14ac:dyDescent="0.25">
      <c r="A427">
        <v>426</v>
      </c>
      <c r="B427" t="s">
        <v>143</v>
      </c>
      <c r="C427" t="s">
        <v>2527</v>
      </c>
    </row>
    <row r="428" spans="1:3" x14ac:dyDescent="0.25">
      <c r="A428">
        <v>427</v>
      </c>
      <c r="B428" t="s">
        <v>143</v>
      </c>
      <c r="C428" t="s">
        <v>2528</v>
      </c>
    </row>
    <row r="429" spans="1:3" x14ac:dyDescent="0.25">
      <c r="A429">
        <v>428</v>
      </c>
      <c r="B429" t="s">
        <v>143</v>
      </c>
      <c r="C429" t="s">
        <v>2529</v>
      </c>
    </row>
    <row r="430" spans="1:3" x14ac:dyDescent="0.25">
      <c r="A430">
        <v>429</v>
      </c>
      <c r="B430" t="s">
        <v>143</v>
      </c>
      <c r="C430" t="s">
        <v>2530</v>
      </c>
    </row>
    <row r="431" spans="1:3" x14ac:dyDescent="0.25">
      <c r="A431">
        <v>430</v>
      </c>
      <c r="B431" t="s">
        <v>143</v>
      </c>
      <c r="C431" t="s">
        <v>2531</v>
      </c>
    </row>
    <row r="432" spans="1:3" x14ac:dyDescent="0.25">
      <c r="A432">
        <v>431</v>
      </c>
      <c r="B432" t="s">
        <v>143</v>
      </c>
      <c r="C432" t="s">
        <v>2532</v>
      </c>
    </row>
    <row r="433" spans="1:3" x14ac:dyDescent="0.25">
      <c r="A433">
        <v>432</v>
      </c>
      <c r="B433" t="s">
        <v>143</v>
      </c>
      <c r="C433" t="s">
        <v>2533</v>
      </c>
    </row>
    <row r="434" spans="1:3" x14ac:dyDescent="0.25">
      <c r="A434">
        <v>433</v>
      </c>
      <c r="B434" t="s">
        <v>143</v>
      </c>
      <c r="C434" t="s">
        <v>2534</v>
      </c>
    </row>
    <row r="435" spans="1:3" x14ac:dyDescent="0.25">
      <c r="A435">
        <v>434</v>
      </c>
      <c r="B435" t="s">
        <v>143</v>
      </c>
      <c r="C435" t="s">
        <v>2535</v>
      </c>
    </row>
    <row r="436" spans="1:3" x14ac:dyDescent="0.25">
      <c r="A436">
        <v>435</v>
      </c>
      <c r="B436" t="s">
        <v>143</v>
      </c>
      <c r="C436" t="s">
        <v>2536</v>
      </c>
    </row>
    <row r="437" spans="1:3" x14ac:dyDescent="0.25">
      <c r="A437">
        <v>436</v>
      </c>
      <c r="B437" t="s">
        <v>143</v>
      </c>
      <c r="C437" t="s">
        <v>2537</v>
      </c>
    </row>
    <row r="438" spans="1:3" x14ac:dyDescent="0.25">
      <c r="A438">
        <v>437</v>
      </c>
      <c r="B438" t="s">
        <v>143</v>
      </c>
      <c r="C438" t="s">
        <v>2538</v>
      </c>
    </row>
    <row r="439" spans="1:3" x14ac:dyDescent="0.25">
      <c r="A439">
        <v>438</v>
      </c>
      <c r="B439" t="s">
        <v>143</v>
      </c>
      <c r="C439" t="s">
        <v>2539</v>
      </c>
    </row>
    <row r="440" spans="1:3" x14ac:dyDescent="0.25">
      <c r="A440">
        <v>439</v>
      </c>
      <c r="B440" t="s">
        <v>143</v>
      </c>
      <c r="C440" t="s">
        <v>2540</v>
      </c>
    </row>
    <row r="441" spans="1:3" x14ac:dyDescent="0.25">
      <c r="A441">
        <v>440</v>
      </c>
      <c r="B441" t="s">
        <v>143</v>
      </c>
      <c r="C441" t="s">
        <v>2541</v>
      </c>
    </row>
    <row r="442" spans="1:3" x14ac:dyDescent="0.25">
      <c r="A442">
        <v>441</v>
      </c>
      <c r="B442" t="s">
        <v>143</v>
      </c>
      <c r="C442" t="s">
        <v>2542</v>
      </c>
    </row>
    <row r="443" spans="1:3" x14ac:dyDescent="0.25">
      <c r="A443">
        <v>442</v>
      </c>
      <c r="B443" t="s">
        <v>143</v>
      </c>
      <c r="C443" t="s">
        <v>2543</v>
      </c>
    </row>
  </sheetData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3"/>
  <dimension ref="A1:C795"/>
  <sheetViews>
    <sheetView workbookViewId="0">
      <selection activeCell="E566" sqref="E566"/>
    </sheetView>
  </sheetViews>
  <sheetFormatPr defaultRowHeight="15" x14ac:dyDescent="0.25"/>
  <cols>
    <col min="2" max="2" width="49.5703125" bestFit="1" customWidth="1"/>
    <col min="3" max="3" width="57.5703125" bestFit="1" customWidth="1"/>
  </cols>
  <sheetData>
    <row r="1" spans="1:3" x14ac:dyDescent="0.25">
      <c r="A1">
        <v>0</v>
      </c>
      <c r="B1" t="s">
        <v>143</v>
      </c>
      <c r="C1" t="s">
        <v>1195</v>
      </c>
    </row>
    <row r="2" spans="1:3" x14ac:dyDescent="0.25">
      <c r="A2">
        <v>1</v>
      </c>
      <c r="B2" t="s">
        <v>143</v>
      </c>
      <c r="C2" t="s">
        <v>1196</v>
      </c>
    </row>
    <row r="3" spans="1:3" x14ac:dyDescent="0.25">
      <c r="A3">
        <v>2</v>
      </c>
      <c r="B3" t="s">
        <v>143</v>
      </c>
      <c r="C3" t="s">
        <v>1197</v>
      </c>
    </row>
    <row r="4" spans="1:3" x14ac:dyDescent="0.25">
      <c r="A4">
        <v>3</v>
      </c>
      <c r="B4" t="s">
        <v>143</v>
      </c>
      <c r="C4" t="s">
        <v>1198</v>
      </c>
    </row>
    <row r="5" spans="1:3" x14ac:dyDescent="0.25">
      <c r="A5">
        <v>4</v>
      </c>
      <c r="B5" t="s">
        <v>143</v>
      </c>
      <c r="C5" t="s">
        <v>1199</v>
      </c>
    </row>
    <row r="6" spans="1:3" x14ac:dyDescent="0.25">
      <c r="A6">
        <v>5</v>
      </c>
      <c r="B6" t="s">
        <v>143</v>
      </c>
      <c r="C6" t="s">
        <v>1200</v>
      </c>
    </row>
    <row r="7" spans="1:3" x14ac:dyDescent="0.25">
      <c r="A7">
        <v>6</v>
      </c>
      <c r="B7" t="s">
        <v>3328</v>
      </c>
      <c r="C7" t="s">
        <v>1201</v>
      </c>
    </row>
    <row r="8" spans="1:3" x14ac:dyDescent="0.25">
      <c r="A8">
        <v>7</v>
      </c>
      <c r="B8" t="s">
        <v>143</v>
      </c>
      <c r="C8" t="s">
        <v>1202</v>
      </c>
    </row>
    <row r="9" spans="1:3" x14ac:dyDescent="0.25">
      <c r="A9">
        <v>8</v>
      </c>
      <c r="B9" t="s">
        <v>143</v>
      </c>
      <c r="C9" t="s">
        <v>1203</v>
      </c>
    </row>
    <row r="10" spans="1:3" x14ac:dyDescent="0.25">
      <c r="A10">
        <v>9</v>
      </c>
      <c r="B10" t="s">
        <v>143</v>
      </c>
      <c r="C10" t="s">
        <v>1204</v>
      </c>
    </row>
    <row r="11" spans="1:3" x14ac:dyDescent="0.25">
      <c r="A11">
        <v>10</v>
      </c>
      <c r="B11" t="s">
        <v>143</v>
      </c>
      <c r="C11" t="s">
        <v>1205</v>
      </c>
    </row>
    <row r="12" spans="1:3" x14ac:dyDescent="0.25">
      <c r="A12">
        <v>11</v>
      </c>
      <c r="B12" t="s">
        <v>143</v>
      </c>
      <c r="C12" t="s">
        <v>1206</v>
      </c>
    </row>
    <row r="13" spans="1:3" x14ac:dyDescent="0.25">
      <c r="A13">
        <v>12</v>
      </c>
      <c r="B13" t="s">
        <v>3321</v>
      </c>
      <c r="C13" t="s">
        <v>1207</v>
      </c>
    </row>
    <row r="14" spans="1:3" x14ac:dyDescent="0.25">
      <c r="A14">
        <v>13</v>
      </c>
      <c r="B14" t="s">
        <v>143</v>
      </c>
      <c r="C14" t="s">
        <v>1208</v>
      </c>
    </row>
    <row r="15" spans="1:3" x14ac:dyDescent="0.25">
      <c r="A15">
        <v>14</v>
      </c>
      <c r="B15" t="s">
        <v>143</v>
      </c>
      <c r="C15" t="s">
        <v>1209</v>
      </c>
    </row>
    <row r="16" spans="1:3" x14ac:dyDescent="0.25">
      <c r="A16">
        <v>15</v>
      </c>
      <c r="B16" t="s">
        <v>143</v>
      </c>
      <c r="C16" t="s">
        <v>1210</v>
      </c>
    </row>
    <row r="17" spans="1:3" x14ac:dyDescent="0.25">
      <c r="A17">
        <v>16</v>
      </c>
      <c r="B17" t="s">
        <v>143</v>
      </c>
      <c r="C17" t="s">
        <v>1211</v>
      </c>
    </row>
    <row r="18" spans="1:3" x14ac:dyDescent="0.25">
      <c r="A18">
        <v>17</v>
      </c>
      <c r="B18" t="s">
        <v>143</v>
      </c>
      <c r="C18" t="s">
        <v>1212</v>
      </c>
    </row>
    <row r="19" spans="1:3" x14ac:dyDescent="0.25">
      <c r="A19">
        <v>18</v>
      </c>
      <c r="B19" t="s">
        <v>143</v>
      </c>
      <c r="C19" t="s">
        <v>1213</v>
      </c>
    </row>
    <row r="20" spans="1:3" x14ac:dyDescent="0.25">
      <c r="A20">
        <v>19</v>
      </c>
      <c r="B20" t="s">
        <v>143</v>
      </c>
      <c r="C20" t="s">
        <v>1214</v>
      </c>
    </row>
    <row r="21" spans="1:3" x14ac:dyDescent="0.25">
      <c r="A21">
        <v>20</v>
      </c>
      <c r="B21" t="s">
        <v>143</v>
      </c>
      <c r="C21" t="s">
        <v>1215</v>
      </c>
    </row>
    <row r="22" spans="1:3" x14ac:dyDescent="0.25">
      <c r="A22">
        <v>21</v>
      </c>
      <c r="B22" t="s">
        <v>143</v>
      </c>
      <c r="C22" t="s">
        <v>1216</v>
      </c>
    </row>
    <row r="23" spans="1:3" x14ac:dyDescent="0.25">
      <c r="A23">
        <v>22</v>
      </c>
      <c r="B23" t="s">
        <v>143</v>
      </c>
      <c r="C23" t="s">
        <v>1217</v>
      </c>
    </row>
    <row r="24" spans="1:3" x14ac:dyDescent="0.25">
      <c r="A24">
        <v>23</v>
      </c>
      <c r="B24" t="s">
        <v>143</v>
      </c>
      <c r="C24" t="s">
        <v>1218</v>
      </c>
    </row>
    <row r="25" spans="1:3" x14ac:dyDescent="0.25">
      <c r="A25">
        <v>24</v>
      </c>
      <c r="B25" t="s">
        <v>143</v>
      </c>
      <c r="C25" t="s">
        <v>1219</v>
      </c>
    </row>
    <row r="26" spans="1:3" x14ac:dyDescent="0.25">
      <c r="A26">
        <v>25</v>
      </c>
      <c r="B26" t="s">
        <v>3340</v>
      </c>
      <c r="C26" t="s">
        <v>1220</v>
      </c>
    </row>
    <row r="27" spans="1:3" x14ac:dyDescent="0.25">
      <c r="A27">
        <v>26</v>
      </c>
      <c r="B27" t="s">
        <v>143</v>
      </c>
      <c r="C27" t="s">
        <v>1221</v>
      </c>
    </row>
    <row r="28" spans="1:3" x14ac:dyDescent="0.25">
      <c r="A28">
        <v>27</v>
      </c>
      <c r="B28" t="s">
        <v>143</v>
      </c>
      <c r="C28" t="s">
        <v>1222</v>
      </c>
    </row>
    <row r="29" spans="1:3" x14ac:dyDescent="0.25">
      <c r="A29">
        <v>28</v>
      </c>
      <c r="B29" t="s">
        <v>143</v>
      </c>
      <c r="C29" t="s">
        <v>1223</v>
      </c>
    </row>
    <row r="30" spans="1:3" x14ac:dyDescent="0.25">
      <c r="A30">
        <v>29</v>
      </c>
      <c r="B30" t="s">
        <v>143</v>
      </c>
      <c r="C30" t="s">
        <v>1224</v>
      </c>
    </row>
    <row r="31" spans="1:3" x14ac:dyDescent="0.25">
      <c r="A31">
        <v>30</v>
      </c>
      <c r="B31" t="s">
        <v>143</v>
      </c>
      <c r="C31" t="s">
        <v>1225</v>
      </c>
    </row>
    <row r="32" spans="1:3" x14ac:dyDescent="0.25">
      <c r="A32">
        <v>31</v>
      </c>
      <c r="B32" t="s">
        <v>143</v>
      </c>
      <c r="C32" t="s">
        <v>1226</v>
      </c>
    </row>
    <row r="33" spans="1:3" x14ac:dyDescent="0.25">
      <c r="A33">
        <v>32</v>
      </c>
      <c r="B33" t="s">
        <v>143</v>
      </c>
      <c r="C33" t="s">
        <v>1227</v>
      </c>
    </row>
    <row r="34" spans="1:3" x14ac:dyDescent="0.25">
      <c r="A34">
        <v>33</v>
      </c>
      <c r="B34" t="s">
        <v>143</v>
      </c>
      <c r="C34" t="s">
        <v>1228</v>
      </c>
    </row>
    <row r="35" spans="1:3" x14ac:dyDescent="0.25">
      <c r="A35">
        <v>34</v>
      </c>
      <c r="B35" t="s">
        <v>143</v>
      </c>
      <c r="C35" t="s">
        <v>1229</v>
      </c>
    </row>
    <row r="36" spans="1:3" x14ac:dyDescent="0.25">
      <c r="A36">
        <v>35</v>
      </c>
      <c r="B36" t="s">
        <v>143</v>
      </c>
      <c r="C36" t="s">
        <v>1230</v>
      </c>
    </row>
    <row r="37" spans="1:3" x14ac:dyDescent="0.25">
      <c r="A37">
        <v>36</v>
      </c>
      <c r="B37" t="s">
        <v>143</v>
      </c>
      <c r="C37" t="s">
        <v>1231</v>
      </c>
    </row>
    <row r="38" spans="1:3" x14ac:dyDescent="0.25">
      <c r="A38">
        <v>37</v>
      </c>
      <c r="B38" t="s">
        <v>143</v>
      </c>
      <c r="C38" t="s">
        <v>1232</v>
      </c>
    </row>
    <row r="39" spans="1:3" x14ac:dyDescent="0.25">
      <c r="A39">
        <v>38</v>
      </c>
      <c r="B39" t="s">
        <v>143</v>
      </c>
      <c r="C39" t="s">
        <v>1233</v>
      </c>
    </row>
    <row r="40" spans="1:3" x14ac:dyDescent="0.25">
      <c r="A40">
        <v>39</v>
      </c>
      <c r="B40" t="s">
        <v>143</v>
      </c>
      <c r="C40" t="s">
        <v>1234</v>
      </c>
    </row>
    <row r="41" spans="1:3" x14ac:dyDescent="0.25">
      <c r="A41">
        <v>40</v>
      </c>
      <c r="B41" t="s">
        <v>143</v>
      </c>
      <c r="C41" t="s">
        <v>1235</v>
      </c>
    </row>
    <row r="42" spans="1:3" x14ac:dyDescent="0.25">
      <c r="A42">
        <v>41</v>
      </c>
      <c r="B42" t="s">
        <v>143</v>
      </c>
      <c r="C42" t="s">
        <v>1236</v>
      </c>
    </row>
    <row r="43" spans="1:3" x14ac:dyDescent="0.25">
      <c r="A43">
        <v>42</v>
      </c>
      <c r="B43" t="s">
        <v>143</v>
      </c>
      <c r="C43" t="s">
        <v>1237</v>
      </c>
    </row>
    <row r="44" spans="1:3" x14ac:dyDescent="0.25">
      <c r="A44">
        <v>43</v>
      </c>
      <c r="B44" t="s">
        <v>143</v>
      </c>
      <c r="C44" t="s">
        <v>1238</v>
      </c>
    </row>
    <row r="45" spans="1:3" x14ac:dyDescent="0.25">
      <c r="A45">
        <v>44</v>
      </c>
      <c r="B45" t="s">
        <v>143</v>
      </c>
      <c r="C45" t="s">
        <v>1239</v>
      </c>
    </row>
    <row r="46" spans="1:3" x14ac:dyDescent="0.25">
      <c r="A46">
        <v>45</v>
      </c>
      <c r="B46" t="s">
        <v>143</v>
      </c>
      <c r="C46" t="s">
        <v>1240</v>
      </c>
    </row>
    <row r="47" spans="1:3" x14ac:dyDescent="0.25">
      <c r="A47">
        <v>46</v>
      </c>
      <c r="B47" t="s">
        <v>143</v>
      </c>
      <c r="C47" t="s">
        <v>1241</v>
      </c>
    </row>
    <row r="48" spans="1:3" x14ac:dyDescent="0.25">
      <c r="A48">
        <v>47</v>
      </c>
      <c r="B48" t="s">
        <v>143</v>
      </c>
      <c r="C48" t="s">
        <v>1242</v>
      </c>
    </row>
    <row r="49" spans="1:3" x14ac:dyDescent="0.25">
      <c r="A49">
        <v>48</v>
      </c>
      <c r="B49" t="s">
        <v>143</v>
      </c>
      <c r="C49" t="s">
        <v>1243</v>
      </c>
    </row>
    <row r="50" spans="1:3" x14ac:dyDescent="0.25">
      <c r="A50">
        <v>49</v>
      </c>
      <c r="B50" t="s">
        <v>143</v>
      </c>
      <c r="C50" t="s">
        <v>1244</v>
      </c>
    </row>
    <row r="51" spans="1:3" x14ac:dyDescent="0.25">
      <c r="A51">
        <v>50</v>
      </c>
      <c r="B51" t="s">
        <v>143</v>
      </c>
      <c r="C51" t="s">
        <v>1245</v>
      </c>
    </row>
    <row r="52" spans="1:3" x14ac:dyDescent="0.25">
      <c r="A52">
        <v>51</v>
      </c>
      <c r="B52" t="s">
        <v>143</v>
      </c>
      <c r="C52" t="s">
        <v>1246</v>
      </c>
    </row>
    <row r="53" spans="1:3" x14ac:dyDescent="0.25">
      <c r="A53">
        <v>52</v>
      </c>
      <c r="B53" t="s">
        <v>143</v>
      </c>
      <c r="C53" t="s">
        <v>1247</v>
      </c>
    </row>
    <row r="54" spans="1:3" x14ac:dyDescent="0.25">
      <c r="A54">
        <v>53</v>
      </c>
      <c r="B54" t="s">
        <v>143</v>
      </c>
      <c r="C54" t="s">
        <v>1248</v>
      </c>
    </row>
    <row r="55" spans="1:3" x14ac:dyDescent="0.25">
      <c r="A55">
        <v>54</v>
      </c>
      <c r="B55" t="s">
        <v>143</v>
      </c>
      <c r="C55" t="s">
        <v>1249</v>
      </c>
    </row>
    <row r="56" spans="1:3" x14ac:dyDescent="0.25">
      <c r="A56">
        <v>55</v>
      </c>
      <c r="B56" t="s">
        <v>143</v>
      </c>
      <c r="C56" t="s">
        <v>1250</v>
      </c>
    </row>
    <row r="57" spans="1:3" x14ac:dyDescent="0.25">
      <c r="A57">
        <v>56</v>
      </c>
      <c r="B57" t="s">
        <v>143</v>
      </c>
      <c r="C57" t="s">
        <v>1251</v>
      </c>
    </row>
    <row r="58" spans="1:3" x14ac:dyDescent="0.25">
      <c r="A58">
        <v>57</v>
      </c>
      <c r="B58" t="s">
        <v>143</v>
      </c>
      <c r="C58" t="s">
        <v>1252</v>
      </c>
    </row>
    <row r="59" spans="1:3" x14ac:dyDescent="0.25">
      <c r="A59">
        <v>58</v>
      </c>
      <c r="B59" t="s">
        <v>143</v>
      </c>
      <c r="C59" t="s">
        <v>1253</v>
      </c>
    </row>
    <row r="60" spans="1:3" x14ac:dyDescent="0.25">
      <c r="A60">
        <v>59</v>
      </c>
      <c r="B60" t="s">
        <v>143</v>
      </c>
      <c r="C60" t="s">
        <v>1254</v>
      </c>
    </row>
    <row r="61" spans="1:3" x14ac:dyDescent="0.25">
      <c r="A61">
        <v>60</v>
      </c>
      <c r="B61" t="s">
        <v>143</v>
      </c>
      <c r="C61" t="s">
        <v>1255</v>
      </c>
    </row>
    <row r="62" spans="1:3" x14ac:dyDescent="0.25">
      <c r="A62">
        <v>61</v>
      </c>
      <c r="B62" t="s">
        <v>143</v>
      </c>
      <c r="C62" t="s">
        <v>1256</v>
      </c>
    </row>
    <row r="63" spans="1:3" x14ac:dyDescent="0.25">
      <c r="A63">
        <v>62</v>
      </c>
      <c r="B63" t="s">
        <v>143</v>
      </c>
      <c r="C63" t="s">
        <v>1257</v>
      </c>
    </row>
    <row r="64" spans="1:3" x14ac:dyDescent="0.25">
      <c r="A64">
        <v>63</v>
      </c>
      <c r="B64" t="s">
        <v>143</v>
      </c>
      <c r="C64" t="s">
        <v>1258</v>
      </c>
    </row>
    <row r="65" spans="1:3" x14ac:dyDescent="0.25">
      <c r="A65">
        <v>64</v>
      </c>
      <c r="B65" t="s">
        <v>143</v>
      </c>
      <c r="C65" t="s">
        <v>1259</v>
      </c>
    </row>
    <row r="66" spans="1:3" x14ac:dyDescent="0.25">
      <c r="A66">
        <v>65</v>
      </c>
      <c r="B66" t="s">
        <v>143</v>
      </c>
      <c r="C66" t="s">
        <v>1260</v>
      </c>
    </row>
    <row r="67" spans="1:3" x14ac:dyDescent="0.25">
      <c r="A67">
        <v>66</v>
      </c>
      <c r="B67" t="s">
        <v>143</v>
      </c>
      <c r="C67" t="s">
        <v>1261</v>
      </c>
    </row>
    <row r="68" spans="1:3" x14ac:dyDescent="0.25">
      <c r="A68">
        <v>67</v>
      </c>
      <c r="B68" t="s">
        <v>143</v>
      </c>
      <c r="C68" t="s">
        <v>1262</v>
      </c>
    </row>
    <row r="69" spans="1:3" x14ac:dyDescent="0.25">
      <c r="A69">
        <v>68</v>
      </c>
      <c r="B69" t="s">
        <v>143</v>
      </c>
      <c r="C69" t="s">
        <v>1263</v>
      </c>
    </row>
    <row r="70" spans="1:3" x14ac:dyDescent="0.25">
      <c r="A70">
        <v>69</v>
      </c>
      <c r="B70" t="s">
        <v>143</v>
      </c>
      <c r="C70" t="s">
        <v>1264</v>
      </c>
    </row>
    <row r="71" spans="1:3" x14ac:dyDescent="0.25">
      <c r="A71">
        <v>70</v>
      </c>
      <c r="B71" t="s">
        <v>143</v>
      </c>
      <c r="C71" t="s">
        <v>1265</v>
      </c>
    </row>
    <row r="72" spans="1:3" x14ac:dyDescent="0.25">
      <c r="A72">
        <v>71</v>
      </c>
      <c r="B72" t="s">
        <v>143</v>
      </c>
      <c r="C72" t="s">
        <v>1266</v>
      </c>
    </row>
    <row r="73" spans="1:3" x14ac:dyDescent="0.25">
      <c r="A73">
        <v>72</v>
      </c>
      <c r="B73" t="s">
        <v>143</v>
      </c>
      <c r="C73" t="s">
        <v>1267</v>
      </c>
    </row>
    <row r="74" spans="1:3" x14ac:dyDescent="0.25">
      <c r="A74">
        <v>73</v>
      </c>
      <c r="B74" t="s">
        <v>143</v>
      </c>
      <c r="C74" t="s">
        <v>1268</v>
      </c>
    </row>
    <row r="75" spans="1:3" x14ac:dyDescent="0.25">
      <c r="A75">
        <v>74</v>
      </c>
      <c r="B75" t="s">
        <v>143</v>
      </c>
      <c r="C75" t="s">
        <v>1269</v>
      </c>
    </row>
    <row r="76" spans="1:3" x14ac:dyDescent="0.25">
      <c r="A76">
        <v>75</v>
      </c>
      <c r="B76" t="s">
        <v>143</v>
      </c>
      <c r="C76" t="s">
        <v>1270</v>
      </c>
    </row>
    <row r="77" spans="1:3" x14ac:dyDescent="0.25">
      <c r="A77">
        <v>76</v>
      </c>
      <c r="B77" t="s">
        <v>143</v>
      </c>
      <c r="C77" t="s">
        <v>1271</v>
      </c>
    </row>
    <row r="78" spans="1:3" x14ac:dyDescent="0.25">
      <c r="A78">
        <v>77</v>
      </c>
      <c r="B78" t="s">
        <v>143</v>
      </c>
      <c r="C78" t="s">
        <v>1272</v>
      </c>
    </row>
    <row r="79" spans="1:3" x14ac:dyDescent="0.25">
      <c r="A79">
        <v>78</v>
      </c>
      <c r="B79" t="s">
        <v>143</v>
      </c>
      <c r="C79" t="s">
        <v>1273</v>
      </c>
    </row>
    <row r="80" spans="1:3" x14ac:dyDescent="0.25">
      <c r="A80">
        <v>79</v>
      </c>
      <c r="B80" t="s">
        <v>143</v>
      </c>
      <c r="C80" t="s">
        <v>1274</v>
      </c>
    </row>
    <row r="81" spans="1:3" x14ac:dyDescent="0.25">
      <c r="A81">
        <v>80</v>
      </c>
      <c r="B81" t="s">
        <v>143</v>
      </c>
      <c r="C81" t="s">
        <v>1275</v>
      </c>
    </row>
    <row r="82" spans="1:3" x14ac:dyDescent="0.25">
      <c r="A82">
        <v>81</v>
      </c>
      <c r="B82" t="s">
        <v>143</v>
      </c>
      <c r="C82" t="s">
        <v>1276</v>
      </c>
    </row>
    <row r="83" spans="1:3" x14ac:dyDescent="0.25">
      <c r="A83">
        <v>82</v>
      </c>
      <c r="B83" t="s">
        <v>143</v>
      </c>
      <c r="C83" t="s">
        <v>1277</v>
      </c>
    </row>
    <row r="84" spans="1:3" x14ac:dyDescent="0.25">
      <c r="A84">
        <v>83</v>
      </c>
      <c r="B84" t="s">
        <v>143</v>
      </c>
      <c r="C84" t="s">
        <v>1278</v>
      </c>
    </row>
    <row r="85" spans="1:3" x14ac:dyDescent="0.25">
      <c r="A85">
        <v>84</v>
      </c>
      <c r="B85" t="s">
        <v>143</v>
      </c>
      <c r="C85" t="s">
        <v>1279</v>
      </c>
    </row>
    <row r="86" spans="1:3" x14ac:dyDescent="0.25">
      <c r="A86">
        <v>85</v>
      </c>
      <c r="B86" t="s">
        <v>143</v>
      </c>
      <c r="C86" t="s">
        <v>1280</v>
      </c>
    </row>
    <row r="87" spans="1:3" x14ac:dyDescent="0.25">
      <c r="A87">
        <v>86</v>
      </c>
      <c r="B87" t="s">
        <v>143</v>
      </c>
      <c r="C87" t="s">
        <v>1281</v>
      </c>
    </row>
    <row r="88" spans="1:3" x14ac:dyDescent="0.25">
      <c r="A88">
        <v>87</v>
      </c>
      <c r="B88" t="s">
        <v>143</v>
      </c>
      <c r="C88" t="s">
        <v>1282</v>
      </c>
    </row>
    <row r="89" spans="1:3" x14ac:dyDescent="0.25">
      <c r="A89">
        <v>88</v>
      </c>
      <c r="B89" t="s">
        <v>143</v>
      </c>
      <c r="C89" t="s">
        <v>1283</v>
      </c>
    </row>
    <row r="90" spans="1:3" x14ac:dyDescent="0.25">
      <c r="A90">
        <v>89</v>
      </c>
      <c r="B90" t="s">
        <v>143</v>
      </c>
      <c r="C90" t="s">
        <v>1284</v>
      </c>
    </row>
    <row r="91" spans="1:3" x14ac:dyDescent="0.25">
      <c r="A91">
        <v>90</v>
      </c>
      <c r="B91" t="s">
        <v>2550</v>
      </c>
      <c r="C91" t="s">
        <v>1285</v>
      </c>
    </row>
    <row r="92" spans="1:3" x14ac:dyDescent="0.25">
      <c r="A92">
        <v>91</v>
      </c>
      <c r="B92" t="s">
        <v>143</v>
      </c>
      <c r="C92" t="s">
        <v>1286</v>
      </c>
    </row>
    <row r="93" spans="1:3" x14ac:dyDescent="0.25">
      <c r="A93">
        <v>92</v>
      </c>
      <c r="B93" t="s">
        <v>143</v>
      </c>
      <c r="C93" t="s">
        <v>1287</v>
      </c>
    </row>
    <row r="94" spans="1:3" x14ac:dyDescent="0.25">
      <c r="A94">
        <v>93</v>
      </c>
      <c r="B94" t="s">
        <v>143</v>
      </c>
      <c r="C94" t="s">
        <v>1288</v>
      </c>
    </row>
    <row r="95" spans="1:3" x14ac:dyDescent="0.25">
      <c r="A95">
        <v>94</v>
      </c>
      <c r="B95" t="s">
        <v>143</v>
      </c>
      <c r="C95" t="s">
        <v>1289</v>
      </c>
    </row>
    <row r="96" spans="1:3" x14ac:dyDescent="0.25">
      <c r="A96">
        <v>95</v>
      </c>
      <c r="B96" t="s">
        <v>143</v>
      </c>
      <c r="C96" t="s">
        <v>1290</v>
      </c>
    </row>
    <row r="97" spans="1:3" x14ac:dyDescent="0.25">
      <c r="A97">
        <v>96</v>
      </c>
      <c r="B97" t="s">
        <v>143</v>
      </c>
      <c r="C97" t="s">
        <v>1291</v>
      </c>
    </row>
    <row r="98" spans="1:3" x14ac:dyDescent="0.25">
      <c r="A98">
        <v>97</v>
      </c>
      <c r="B98" t="s">
        <v>143</v>
      </c>
      <c r="C98" t="s">
        <v>1292</v>
      </c>
    </row>
    <row r="99" spans="1:3" x14ac:dyDescent="0.25">
      <c r="A99">
        <v>98</v>
      </c>
      <c r="B99" t="s">
        <v>143</v>
      </c>
      <c r="C99" t="s">
        <v>1293</v>
      </c>
    </row>
    <row r="100" spans="1:3" x14ac:dyDescent="0.25">
      <c r="A100">
        <v>99</v>
      </c>
      <c r="B100" t="s">
        <v>143</v>
      </c>
      <c r="C100" t="s">
        <v>1294</v>
      </c>
    </row>
    <row r="101" spans="1:3" x14ac:dyDescent="0.25">
      <c r="A101">
        <v>100</v>
      </c>
      <c r="B101" t="s">
        <v>143</v>
      </c>
      <c r="C101" t="s">
        <v>1295</v>
      </c>
    </row>
    <row r="102" spans="1:3" x14ac:dyDescent="0.25">
      <c r="A102">
        <v>101</v>
      </c>
      <c r="B102" t="s">
        <v>143</v>
      </c>
      <c r="C102" t="s">
        <v>1296</v>
      </c>
    </row>
    <row r="103" spans="1:3" x14ac:dyDescent="0.25">
      <c r="A103">
        <v>102</v>
      </c>
      <c r="B103" t="s">
        <v>143</v>
      </c>
      <c r="C103" t="s">
        <v>1297</v>
      </c>
    </row>
    <row r="104" spans="1:3" x14ac:dyDescent="0.25">
      <c r="A104">
        <v>103</v>
      </c>
      <c r="B104" t="s">
        <v>143</v>
      </c>
      <c r="C104" t="s">
        <v>1298</v>
      </c>
    </row>
    <row r="105" spans="1:3" x14ac:dyDescent="0.25">
      <c r="A105">
        <v>104</v>
      </c>
      <c r="B105" t="s">
        <v>143</v>
      </c>
      <c r="C105" t="s">
        <v>1299</v>
      </c>
    </row>
    <row r="106" spans="1:3" x14ac:dyDescent="0.25">
      <c r="A106">
        <v>105</v>
      </c>
      <c r="B106" t="s">
        <v>143</v>
      </c>
      <c r="C106" t="s">
        <v>1300</v>
      </c>
    </row>
    <row r="107" spans="1:3" x14ac:dyDescent="0.25">
      <c r="A107">
        <v>106</v>
      </c>
      <c r="B107" t="s">
        <v>143</v>
      </c>
      <c r="C107" t="s">
        <v>1301</v>
      </c>
    </row>
    <row r="108" spans="1:3" x14ac:dyDescent="0.25">
      <c r="A108">
        <v>107</v>
      </c>
      <c r="B108" t="s">
        <v>143</v>
      </c>
      <c r="C108" t="s">
        <v>1302</v>
      </c>
    </row>
    <row r="109" spans="1:3" x14ac:dyDescent="0.25">
      <c r="A109">
        <v>108</v>
      </c>
      <c r="B109" t="s">
        <v>143</v>
      </c>
      <c r="C109" t="s">
        <v>1303</v>
      </c>
    </row>
    <row r="110" spans="1:3" x14ac:dyDescent="0.25">
      <c r="A110">
        <v>109</v>
      </c>
      <c r="B110" t="s">
        <v>143</v>
      </c>
      <c r="C110" t="s">
        <v>1304</v>
      </c>
    </row>
    <row r="111" spans="1:3" x14ac:dyDescent="0.25">
      <c r="A111">
        <v>110</v>
      </c>
      <c r="B111" t="s">
        <v>143</v>
      </c>
      <c r="C111" t="s">
        <v>1305</v>
      </c>
    </row>
    <row r="112" spans="1:3" x14ac:dyDescent="0.25">
      <c r="A112">
        <v>111</v>
      </c>
      <c r="B112" t="s">
        <v>143</v>
      </c>
      <c r="C112" t="s">
        <v>1306</v>
      </c>
    </row>
    <row r="113" spans="1:3" x14ac:dyDescent="0.25">
      <c r="A113">
        <v>112</v>
      </c>
      <c r="B113" t="s">
        <v>143</v>
      </c>
      <c r="C113" t="s">
        <v>1307</v>
      </c>
    </row>
    <row r="114" spans="1:3" x14ac:dyDescent="0.25">
      <c r="A114">
        <v>113</v>
      </c>
      <c r="B114" t="s">
        <v>143</v>
      </c>
      <c r="C114" t="s">
        <v>1308</v>
      </c>
    </row>
    <row r="115" spans="1:3" x14ac:dyDescent="0.25">
      <c r="A115">
        <v>114</v>
      </c>
      <c r="B115" t="s">
        <v>143</v>
      </c>
      <c r="C115" t="s">
        <v>1309</v>
      </c>
    </row>
    <row r="116" spans="1:3" x14ac:dyDescent="0.25">
      <c r="A116">
        <v>115</v>
      </c>
      <c r="B116" t="s">
        <v>143</v>
      </c>
      <c r="C116" t="s">
        <v>1310</v>
      </c>
    </row>
    <row r="117" spans="1:3" x14ac:dyDescent="0.25">
      <c r="A117">
        <v>116</v>
      </c>
      <c r="B117" t="s">
        <v>143</v>
      </c>
      <c r="C117" t="s">
        <v>1311</v>
      </c>
    </row>
    <row r="118" spans="1:3" x14ac:dyDescent="0.25">
      <c r="A118">
        <v>117</v>
      </c>
      <c r="B118" t="s">
        <v>143</v>
      </c>
      <c r="C118" t="s">
        <v>1312</v>
      </c>
    </row>
    <row r="119" spans="1:3" x14ac:dyDescent="0.25">
      <c r="A119">
        <v>118</v>
      </c>
      <c r="B119" t="s">
        <v>143</v>
      </c>
      <c r="C119" t="s">
        <v>1313</v>
      </c>
    </row>
    <row r="120" spans="1:3" x14ac:dyDescent="0.25">
      <c r="A120">
        <v>119</v>
      </c>
      <c r="B120" t="s">
        <v>143</v>
      </c>
      <c r="C120" t="s">
        <v>1314</v>
      </c>
    </row>
    <row r="121" spans="1:3" x14ac:dyDescent="0.25">
      <c r="A121">
        <v>120</v>
      </c>
      <c r="B121" t="s">
        <v>143</v>
      </c>
      <c r="C121" t="s">
        <v>1315</v>
      </c>
    </row>
    <row r="122" spans="1:3" x14ac:dyDescent="0.25">
      <c r="A122">
        <v>121</v>
      </c>
      <c r="B122" t="s">
        <v>143</v>
      </c>
      <c r="C122" t="s">
        <v>1316</v>
      </c>
    </row>
    <row r="123" spans="1:3" x14ac:dyDescent="0.25">
      <c r="A123">
        <v>122</v>
      </c>
      <c r="B123" t="s">
        <v>143</v>
      </c>
      <c r="C123" t="s">
        <v>1317</v>
      </c>
    </row>
    <row r="124" spans="1:3" x14ac:dyDescent="0.25">
      <c r="A124">
        <v>123</v>
      </c>
      <c r="B124" t="s">
        <v>143</v>
      </c>
      <c r="C124" t="s">
        <v>1318</v>
      </c>
    </row>
    <row r="125" spans="1:3" x14ac:dyDescent="0.25">
      <c r="A125">
        <v>124</v>
      </c>
      <c r="B125" t="s">
        <v>143</v>
      </c>
      <c r="C125" t="s">
        <v>1319</v>
      </c>
    </row>
    <row r="126" spans="1:3" x14ac:dyDescent="0.25">
      <c r="A126">
        <v>125</v>
      </c>
      <c r="B126" t="s">
        <v>143</v>
      </c>
      <c r="C126" t="s">
        <v>1320</v>
      </c>
    </row>
    <row r="127" spans="1:3" x14ac:dyDescent="0.25">
      <c r="A127">
        <v>126</v>
      </c>
      <c r="B127" t="s">
        <v>143</v>
      </c>
      <c r="C127" t="s">
        <v>1321</v>
      </c>
    </row>
    <row r="128" spans="1:3" x14ac:dyDescent="0.25">
      <c r="A128">
        <v>127</v>
      </c>
      <c r="B128" t="s">
        <v>143</v>
      </c>
      <c r="C128" t="s">
        <v>1322</v>
      </c>
    </row>
    <row r="129" spans="1:3" x14ac:dyDescent="0.25">
      <c r="A129">
        <v>128</v>
      </c>
      <c r="B129" t="s">
        <v>143</v>
      </c>
      <c r="C129" t="s">
        <v>1323</v>
      </c>
    </row>
    <row r="130" spans="1:3" x14ac:dyDescent="0.25">
      <c r="A130">
        <v>129</v>
      </c>
      <c r="B130" t="s">
        <v>143</v>
      </c>
      <c r="C130" t="s">
        <v>1324</v>
      </c>
    </row>
    <row r="131" spans="1:3" x14ac:dyDescent="0.25">
      <c r="A131">
        <v>130</v>
      </c>
      <c r="B131" t="s">
        <v>143</v>
      </c>
      <c r="C131" t="s">
        <v>1325</v>
      </c>
    </row>
    <row r="132" spans="1:3" x14ac:dyDescent="0.25">
      <c r="A132">
        <v>131</v>
      </c>
      <c r="B132" t="s">
        <v>143</v>
      </c>
      <c r="C132" t="s">
        <v>1326</v>
      </c>
    </row>
    <row r="133" spans="1:3" x14ac:dyDescent="0.25">
      <c r="A133">
        <v>132</v>
      </c>
      <c r="B133" t="s">
        <v>143</v>
      </c>
      <c r="C133" t="s">
        <v>1327</v>
      </c>
    </row>
    <row r="134" spans="1:3" x14ac:dyDescent="0.25">
      <c r="A134">
        <v>133</v>
      </c>
      <c r="B134" t="s">
        <v>143</v>
      </c>
      <c r="C134" t="s">
        <v>1328</v>
      </c>
    </row>
    <row r="135" spans="1:3" x14ac:dyDescent="0.25">
      <c r="A135">
        <v>134</v>
      </c>
      <c r="B135" t="s">
        <v>143</v>
      </c>
      <c r="C135" t="s">
        <v>1329</v>
      </c>
    </row>
    <row r="136" spans="1:3" x14ac:dyDescent="0.25">
      <c r="A136">
        <v>135</v>
      </c>
      <c r="B136" t="s">
        <v>3322</v>
      </c>
      <c r="C136" t="s">
        <v>1330</v>
      </c>
    </row>
    <row r="137" spans="1:3" x14ac:dyDescent="0.25">
      <c r="A137">
        <v>136</v>
      </c>
      <c r="B137" t="s">
        <v>143</v>
      </c>
      <c r="C137" t="s">
        <v>1331</v>
      </c>
    </row>
    <row r="138" spans="1:3" x14ac:dyDescent="0.25">
      <c r="A138">
        <v>137</v>
      </c>
      <c r="B138" t="s">
        <v>143</v>
      </c>
      <c r="C138" t="s">
        <v>1332</v>
      </c>
    </row>
    <row r="139" spans="1:3" x14ac:dyDescent="0.25">
      <c r="A139">
        <v>138</v>
      </c>
      <c r="B139" t="s">
        <v>143</v>
      </c>
      <c r="C139" t="s">
        <v>1333</v>
      </c>
    </row>
    <row r="140" spans="1:3" x14ac:dyDescent="0.25">
      <c r="A140">
        <v>139</v>
      </c>
      <c r="B140" t="s">
        <v>143</v>
      </c>
      <c r="C140" t="s">
        <v>1334</v>
      </c>
    </row>
    <row r="141" spans="1:3" x14ac:dyDescent="0.25">
      <c r="A141">
        <v>140</v>
      </c>
      <c r="B141" t="s">
        <v>143</v>
      </c>
      <c r="C141" t="s">
        <v>1335</v>
      </c>
    </row>
    <row r="142" spans="1:3" x14ac:dyDescent="0.25">
      <c r="A142">
        <v>141</v>
      </c>
      <c r="B142" t="s">
        <v>143</v>
      </c>
      <c r="C142" t="s">
        <v>1336</v>
      </c>
    </row>
    <row r="143" spans="1:3" x14ac:dyDescent="0.25">
      <c r="A143">
        <v>142</v>
      </c>
      <c r="B143" t="s">
        <v>143</v>
      </c>
      <c r="C143" t="s">
        <v>1337</v>
      </c>
    </row>
    <row r="144" spans="1:3" x14ac:dyDescent="0.25">
      <c r="A144">
        <v>143</v>
      </c>
      <c r="B144" t="s">
        <v>143</v>
      </c>
      <c r="C144" t="s">
        <v>1338</v>
      </c>
    </row>
    <row r="145" spans="1:3" x14ac:dyDescent="0.25">
      <c r="A145">
        <v>144</v>
      </c>
      <c r="B145" t="s">
        <v>143</v>
      </c>
      <c r="C145" t="s">
        <v>1339</v>
      </c>
    </row>
    <row r="146" spans="1:3" x14ac:dyDescent="0.25">
      <c r="A146">
        <v>145</v>
      </c>
      <c r="B146" t="s">
        <v>143</v>
      </c>
      <c r="C146" t="s">
        <v>1340</v>
      </c>
    </row>
    <row r="147" spans="1:3" x14ac:dyDescent="0.25">
      <c r="A147">
        <v>146</v>
      </c>
      <c r="B147" t="s">
        <v>143</v>
      </c>
      <c r="C147" t="s">
        <v>1341</v>
      </c>
    </row>
    <row r="148" spans="1:3" x14ac:dyDescent="0.25">
      <c r="A148">
        <v>147</v>
      </c>
      <c r="B148" t="s">
        <v>143</v>
      </c>
      <c r="C148" t="s">
        <v>1342</v>
      </c>
    </row>
    <row r="149" spans="1:3" x14ac:dyDescent="0.25">
      <c r="A149">
        <v>148</v>
      </c>
      <c r="B149" t="s">
        <v>143</v>
      </c>
      <c r="C149" t="s">
        <v>1343</v>
      </c>
    </row>
    <row r="150" spans="1:3" x14ac:dyDescent="0.25">
      <c r="A150">
        <v>149</v>
      </c>
      <c r="B150" t="s">
        <v>143</v>
      </c>
      <c r="C150" t="s">
        <v>1344</v>
      </c>
    </row>
    <row r="151" spans="1:3" x14ac:dyDescent="0.25">
      <c r="A151">
        <v>150</v>
      </c>
      <c r="B151" t="s">
        <v>3329</v>
      </c>
      <c r="C151" t="s">
        <v>1345</v>
      </c>
    </row>
    <row r="152" spans="1:3" x14ac:dyDescent="0.25">
      <c r="A152">
        <v>151</v>
      </c>
      <c r="B152" t="s">
        <v>143</v>
      </c>
      <c r="C152" t="s">
        <v>1346</v>
      </c>
    </row>
    <row r="153" spans="1:3" x14ac:dyDescent="0.25">
      <c r="A153">
        <v>152</v>
      </c>
      <c r="B153" t="s">
        <v>3330</v>
      </c>
      <c r="C153" t="s">
        <v>1347</v>
      </c>
    </row>
    <row r="154" spans="1:3" x14ac:dyDescent="0.25">
      <c r="A154">
        <v>153</v>
      </c>
      <c r="B154" t="s">
        <v>3331</v>
      </c>
      <c r="C154" t="s">
        <v>1348</v>
      </c>
    </row>
    <row r="155" spans="1:3" x14ac:dyDescent="0.25">
      <c r="A155">
        <v>154</v>
      </c>
      <c r="B155" t="s">
        <v>143</v>
      </c>
      <c r="C155" t="s">
        <v>1349</v>
      </c>
    </row>
    <row r="156" spans="1:3" x14ac:dyDescent="0.25">
      <c r="A156">
        <v>155</v>
      </c>
      <c r="B156" t="s">
        <v>3344</v>
      </c>
      <c r="C156" t="s">
        <v>1350</v>
      </c>
    </row>
    <row r="157" spans="1:3" x14ac:dyDescent="0.25">
      <c r="A157">
        <v>156</v>
      </c>
      <c r="B157" t="s">
        <v>143</v>
      </c>
      <c r="C157" t="s">
        <v>1351</v>
      </c>
    </row>
    <row r="158" spans="1:3" x14ac:dyDescent="0.25">
      <c r="A158">
        <v>157</v>
      </c>
      <c r="B158" t="s">
        <v>143</v>
      </c>
      <c r="C158" t="s">
        <v>1352</v>
      </c>
    </row>
    <row r="159" spans="1:3" x14ac:dyDescent="0.25">
      <c r="A159">
        <v>158</v>
      </c>
      <c r="B159" t="s">
        <v>143</v>
      </c>
      <c r="C159" t="s">
        <v>1353</v>
      </c>
    </row>
    <row r="160" spans="1:3" x14ac:dyDescent="0.25">
      <c r="A160">
        <v>159</v>
      </c>
      <c r="B160" t="s">
        <v>143</v>
      </c>
      <c r="C160" t="s">
        <v>1354</v>
      </c>
    </row>
    <row r="161" spans="1:3" x14ac:dyDescent="0.25">
      <c r="A161">
        <v>160</v>
      </c>
      <c r="B161" t="s">
        <v>143</v>
      </c>
      <c r="C161" t="s">
        <v>1355</v>
      </c>
    </row>
    <row r="162" spans="1:3" x14ac:dyDescent="0.25">
      <c r="A162">
        <v>161</v>
      </c>
      <c r="B162" t="s">
        <v>143</v>
      </c>
      <c r="C162" t="s">
        <v>1356</v>
      </c>
    </row>
    <row r="163" spans="1:3" x14ac:dyDescent="0.25">
      <c r="A163">
        <v>162</v>
      </c>
      <c r="B163" t="s">
        <v>143</v>
      </c>
      <c r="C163" t="s">
        <v>1357</v>
      </c>
    </row>
    <row r="164" spans="1:3" x14ac:dyDescent="0.25">
      <c r="A164">
        <v>163</v>
      </c>
      <c r="B164" t="s">
        <v>143</v>
      </c>
      <c r="C164" t="s">
        <v>1358</v>
      </c>
    </row>
    <row r="165" spans="1:3" x14ac:dyDescent="0.25">
      <c r="A165">
        <v>164</v>
      </c>
      <c r="B165" t="s">
        <v>143</v>
      </c>
      <c r="C165" t="s">
        <v>1359</v>
      </c>
    </row>
    <row r="166" spans="1:3" x14ac:dyDescent="0.25">
      <c r="A166">
        <v>165</v>
      </c>
      <c r="B166" t="s">
        <v>143</v>
      </c>
      <c r="C166" t="s">
        <v>1360</v>
      </c>
    </row>
    <row r="167" spans="1:3" x14ac:dyDescent="0.25">
      <c r="A167">
        <v>166</v>
      </c>
      <c r="B167" t="s">
        <v>143</v>
      </c>
      <c r="C167" t="s">
        <v>1361</v>
      </c>
    </row>
    <row r="168" spans="1:3" x14ac:dyDescent="0.25">
      <c r="A168">
        <v>167</v>
      </c>
      <c r="B168" t="s">
        <v>143</v>
      </c>
      <c r="C168" t="s">
        <v>1362</v>
      </c>
    </row>
    <row r="169" spans="1:3" x14ac:dyDescent="0.25">
      <c r="A169">
        <v>168</v>
      </c>
      <c r="B169" t="s">
        <v>143</v>
      </c>
      <c r="C169" t="s">
        <v>1363</v>
      </c>
    </row>
    <row r="170" spans="1:3" x14ac:dyDescent="0.25">
      <c r="A170">
        <v>169</v>
      </c>
      <c r="B170" t="s">
        <v>143</v>
      </c>
      <c r="C170" t="s">
        <v>1364</v>
      </c>
    </row>
    <row r="171" spans="1:3" x14ac:dyDescent="0.25">
      <c r="A171">
        <v>170</v>
      </c>
      <c r="B171" t="s">
        <v>143</v>
      </c>
      <c r="C171" t="s">
        <v>1365</v>
      </c>
    </row>
    <row r="172" spans="1:3" x14ac:dyDescent="0.25">
      <c r="A172">
        <v>171</v>
      </c>
      <c r="B172" t="s">
        <v>143</v>
      </c>
      <c r="C172" t="s">
        <v>1366</v>
      </c>
    </row>
    <row r="173" spans="1:3" x14ac:dyDescent="0.25">
      <c r="A173">
        <v>172</v>
      </c>
      <c r="B173" t="s">
        <v>143</v>
      </c>
      <c r="C173" t="s">
        <v>1367</v>
      </c>
    </row>
    <row r="174" spans="1:3" x14ac:dyDescent="0.25">
      <c r="A174">
        <v>173</v>
      </c>
      <c r="B174" t="s">
        <v>143</v>
      </c>
      <c r="C174" t="s">
        <v>1368</v>
      </c>
    </row>
    <row r="175" spans="1:3" x14ac:dyDescent="0.25">
      <c r="A175">
        <v>174</v>
      </c>
      <c r="B175" t="s">
        <v>143</v>
      </c>
      <c r="C175" t="s">
        <v>1369</v>
      </c>
    </row>
    <row r="176" spans="1:3" x14ac:dyDescent="0.25">
      <c r="A176">
        <v>175</v>
      </c>
      <c r="B176" t="s">
        <v>143</v>
      </c>
      <c r="C176" t="s">
        <v>1370</v>
      </c>
    </row>
    <row r="177" spans="1:3" x14ac:dyDescent="0.25">
      <c r="A177">
        <v>176</v>
      </c>
      <c r="B177" t="s">
        <v>143</v>
      </c>
      <c r="C177" t="s">
        <v>1371</v>
      </c>
    </row>
    <row r="178" spans="1:3" x14ac:dyDescent="0.25">
      <c r="A178">
        <v>177</v>
      </c>
      <c r="B178" t="s">
        <v>143</v>
      </c>
      <c r="C178" t="s">
        <v>1372</v>
      </c>
    </row>
    <row r="179" spans="1:3" x14ac:dyDescent="0.25">
      <c r="A179">
        <v>178</v>
      </c>
      <c r="B179" t="s">
        <v>143</v>
      </c>
      <c r="C179" t="s">
        <v>1373</v>
      </c>
    </row>
    <row r="180" spans="1:3" x14ac:dyDescent="0.25">
      <c r="A180">
        <v>179</v>
      </c>
      <c r="B180" t="s">
        <v>143</v>
      </c>
      <c r="C180" t="s">
        <v>1374</v>
      </c>
    </row>
    <row r="181" spans="1:3" x14ac:dyDescent="0.25">
      <c r="A181">
        <v>180</v>
      </c>
      <c r="B181" t="s">
        <v>143</v>
      </c>
      <c r="C181" t="s">
        <v>1375</v>
      </c>
    </row>
    <row r="182" spans="1:3" x14ac:dyDescent="0.25">
      <c r="A182">
        <v>181</v>
      </c>
      <c r="B182" t="s">
        <v>143</v>
      </c>
      <c r="C182" t="s">
        <v>1376</v>
      </c>
    </row>
    <row r="183" spans="1:3" x14ac:dyDescent="0.25">
      <c r="A183">
        <v>182</v>
      </c>
      <c r="B183" t="s">
        <v>143</v>
      </c>
      <c r="C183" t="s">
        <v>1377</v>
      </c>
    </row>
    <row r="184" spans="1:3" x14ac:dyDescent="0.25">
      <c r="A184">
        <v>183</v>
      </c>
      <c r="B184" t="s">
        <v>143</v>
      </c>
      <c r="C184" t="s">
        <v>1378</v>
      </c>
    </row>
    <row r="185" spans="1:3" x14ac:dyDescent="0.25">
      <c r="A185">
        <v>184</v>
      </c>
      <c r="B185" t="s">
        <v>143</v>
      </c>
      <c r="C185" t="s">
        <v>1379</v>
      </c>
    </row>
    <row r="186" spans="1:3" x14ac:dyDescent="0.25">
      <c r="A186">
        <v>185</v>
      </c>
      <c r="B186" t="s">
        <v>143</v>
      </c>
      <c r="C186" t="s">
        <v>1380</v>
      </c>
    </row>
    <row r="187" spans="1:3" x14ac:dyDescent="0.25">
      <c r="A187">
        <v>186</v>
      </c>
      <c r="B187" t="s">
        <v>143</v>
      </c>
      <c r="C187" t="s">
        <v>1381</v>
      </c>
    </row>
    <row r="188" spans="1:3" x14ac:dyDescent="0.25">
      <c r="A188">
        <v>187</v>
      </c>
      <c r="B188" t="s">
        <v>143</v>
      </c>
      <c r="C188" t="s">
        <v>1382</v>
      </c>
    </row>
    <row r="189" spans="1:3" x14ac:dyDescent="0.25">
      <c r="A189">
        <v>188</v>
      </c>
      <c r="B189" t="s">
        <v>143</v>
      </c>
      <c r="C189" t="s">
        <v>1383</v>
      </c>
    </row>
    <row r="190" spans="1:3" x14ac:dyDescent="0.25">
      <c r="A190">
        <v>189</v>
      </c>
      <c r="B190" t="s">
        <v>143</v>
      </c>
      <c r="C190" t="s">
        <v>1384</v>
      </c>
    </row>
    <row r="191" spans="1:3" x14ac:dyDescent="0.25">
      <c r="A191">
        <v>190</v>
      </c>
      <c r="B191" t="s">
        <v>143</v>
      </c>
      <c r="C191" t="s">
        <v>1385</v>
      </c>
    </row>
    <row r="192" spans="1:3" x14ac:dyDescent="0.25">
      <c r="A192">
        <v>191</v>
      </c>
      <c r="B192" t="s">
        <v>143</v>
      </c>
      <c r="C192" t="s">
        <v>1386</v>
      </c>
    </row>
    <row r="193" spans="1:3" x14ac:dyDescent="0.25">
      <c r="A193">
        <v>192</v>
      </c>
      <c r="B193" t="s">
        <v>143</v>
      </c>
      <c r="C193" t="s">
        <v>1387</v>
      </c>
    </row>
    <row r="194" spans="1:3" x14ac:dyDescent="0.25">
      <c r="A194">
        <v>193</v>
      </c>
      <c r="B194" t="s">
        <v>143</v>
      </c>
      <c r="C194" t="s">
        <v>1388</v>
      </c>
    </row>
    <row r="195" spans="1:3" x14ac:dyDescent="0.25">
      <c r="A195">
        <v>194</v>
      </c>
      <c r="B195" t="s">
        <v>143</v>
      </c>
      <c r="C195" t="s">
        <v>1389</v>
      </c>
    </row>
    <row r="196" spans="1:3" x14ac:dyDescent="0.25">
      <c r="A196">
        <v>195</v>
      </c>
      <c r="B196" t="s">
        <v>143</v>
      </c>
      <c r="C196" t="s">
        <v>1390</v>
      </c>
    </row>
    <row r="197" spans="1:3" x14ac:dyDescent="0.25">
      <c r="A197">
        <v>196</v>
      </c>
      <c r="B197" t="s">
        <v>143</v>
      </c>
      <c r="C197" t="s">
        <v>1391</v>
      </c>
    </row>
    <row r="198" spans="1:3" x14ac:dyDescent="0.25">
      <c r="A198">
        <v>197</v>
      </c>
      <c r="B198" t="s">
        <v>143</v>
      </c>
      <c r="C198" t="s">
        <v>1392</v>
      </c>
    </row>
    <row r="199" spans="1:3" x14ac:dyDescent="0.25">
      <c r="A199">
        <v>198</v>
      </c>
      <c r="B199" t="s">
        <v>143</v>
      </c>
      <c r="C199" t="s">
        <v>1393</v>
      </c>
    </row>
    <row r="200" spans="1:3" x14ac:dyDescent="0.25">
      <c r="A200">
        <v>199</v>
      </c>
      <c r="B200" t="s">
        <v>143</v>
      </c>
      <c r="C200" t="s">
        <v>1394</v>
      </c>
    </row>
    <row r="201" spans="1:3" x14ac:dyDescent="0.25">
      <c r="A201">
        <v>200</v>
      </c>
      <c r="B201" t="s">
        <v>143</v>
      </c>
      <c r="C201" t="s">
        <v>1395</v>
      </c>
    </row>
    <row r="202" spans="1:3" x14ac:dyDescent="0.25">
      <c r="A202">
        <v>201</v>
      </c>
      <c r="B202" t="s">
        <v>143</v>
      </c>
      <c r="C202" t="s">
        <v>1396</v>
      </c>
    </row>
    <row r="203" spans="1:3" x14ac:dyDescent="0.25">
      <c r="A203">
        <v>202</v>
      </c>
      <c r="B203" t="s">
        <v>143</v>
      </c>
      <c r="C203" t="s">
        <v>1397</v>
      </c>
    </row>
    <row r="204" spans="1:3" x14ac:dyDescent="0.25">
      <c r="A204">
        <v>203</v>
      </c>
      <c r="B204" t="s">
        <v>143</v>
      </c>
      <c r="C204" t="s">
        <v>1398</v>
      </c>
    </row>
    <row r="205" spans="1:3" x14ac:dyDescent="0.25">
      <c r="A205">
        <v>204</v>
      </c>
      <c r="B205" t="s">
        <v>143</v>
      </c>
      <c r="C205" t="s">
        <v>1399</v>
      </c>
    </row>
    <row r="206" spans="1:3" x14ac:dyDescent="0.25">
      <c r="A206">
        <v>205</v>
      </c>
      <c r="B206" t="s">
        <v>143</v>
      </c>
      <c r="C206" t="s">
        <v>1400</v>
      </c>
    </row>
    <row r="207" spans="1:3" x14ac:dyDescent="0.25">
      <c r="A207">
        <v>206</v>
      </c>
      <c r="B207" t="s">
        <v>143</v>
      </c>
      <c r="C207" t="s">
        <v>1401</v>
      </c>
    </row>
    <row r="208" spans="1:3" x14ac:dyDescent="0.25">
      <c r="A208">
        <v>207</v>
      </c>
      <c r="B208" t="s">
        <v>143</v>
      </c>
      <c r="C208" t="s">
        <v>1402</v>
      </c>
    </row>
    <row r="209" spans="1:3" x14ac:dyDescent="0.25">
      <c r="A209">
        <v>208</v>
      </c>
      <c r="B209" t="s">
        <v>143</v>
      </c>
      <c r="C209" t="s">
        <v>1403</v>
      </c>
    </row>
    <row r="210" spans="1:3" x14ac:dyDescent="0.25">
      <c r="A210">
        <v>209</v>
      </c>
      <c r="B210" t="s">
        <v>143</v>
      </c>
      <c r="C210" t="s">
        <v>1404</v>
      </c>
    </row>
    <row r="211" spans="1:3" x14ac:dyDescent="0.25">
      <c r="A211">
        <v>210</v>
      </c>
      <c r="B211" t="s">
        <v>143</v>
      </c>
      <c r="C211" t="s">
        <v>1405</v>
      </c>
    </row>
    <row r="212" spans="1:3" x14ac:dyDescent="0.25">
      <c r="A212">
        <v>211</v>
      </c>
      <c r="B212" t="s">
        <v>143</v>
      </c>
      <c r="C212" t="s">
        <v>1406</v>
      </c>
    </row>
    <row r="213" spans="1:3" x14ac:dyDescent="0.25">
      <c r="A213">
        <v>212</v>
      </c>
      <c r="B213" t="s">
        <v>143</v>
      </c>
      <c r="C213" t="s">
        <v>1407</v>
      </c>
    </row>
    <row r="214" spans="1:3" x14ac:dyDescent="0.25">
      <c r="A214">
        <v>213</v>
      </c>
      <c r="B214" t="s">
        <v>143</v>
      </c>
      <c r="C214" t="s">
        <v>1408</v>
      </c>
    </row>
    <row r="215" spans="1:3" x14ac:dyDescent="0.25">
      <c r="A215">
        <v>214</v>
      </c>
      <c r="B215" t="s">
        <v>143</v>
      </c>
      <c r="C215" t="s">
        <v>1409</v>
      </c>
    </row>
    <row r="216" spans="1:3" x14ac:dyDescent="0.25">
      <c r="A216">
        <v>215</v>
      </c>
      <c r="B216" t="s">
        <v>143</v>
      </c>
      <c r="C216" t="s">
        <v>1410</v>
      </c>
    </row>
    <row r="217" spans="1:3" x14ac:dyDescent="0.25">
      <c r="A217">
        <v>216</v>
      </c>
      <c r="B217" t="s">
        <v>143</v>
      </c>
      <c r="C217" t="s">
        <v>1411</v>
      </c>
    </row>
    <row r="218" spans="1:3" x14ac:dyDescent="0.25">
      <c r="A218">
        <v>217</v>
      </c>
      <c r="B218" t="s">
        <v>143</v>
      </c>
      <c r="C218" t="s">
        <v>1412</v>
      </c>
    </row>
    <row r="219" spans="1:3" x14ac:dyDescent="0.25">
      <c r="A219">
        <v>218</v>
      </c>
      <c r="B219" t="s">
        <v>143</v>
      </c>
      <c r="C219" t="s">
        <v>1413</v>
      </c>
    </row>
    <row r="220" spans="1:3" x14ac:dyDescent="0.25">
      <c r="A220">
        <v>219</v>
      </c>
      <c r="B220" t="s">
        <v>143</v>
      </c>
      <c r="C220" t="s">
        <v>1414</v>
      </c>
    </row>
    <row r="221" spans="1:3" x14ac:dyDescent="0.25">
      <c r="A221">
        <v>220</v>
      </c>
      <c r="B221" t="s">
        <v>143</v>
      </c>
      <c r="C221" t="s">
        <v>1415</v>
      </c>
    </row>
    <row r="222" spans="1:3" x14ac:dyDescent="0.25">
      <c r="A222">
        <v>221</v>
      </c>
      <c r="B222" t="s">
        <v>143</v>
      </c>
      <c r="C222" t="s">
        <v>1416</v>
      </c>
    </row>
    <row r="223" spans="1:3" x14ac:dyDescent="0.25">
      <c r="A223">
        <v>222</v>
      </c>
      <c r="B223" t="s">
        <v>143</v>
      </c>
      <c r="C223" t="s">
        <v>1417</v>
      </c>
    </row>
    <row r="224" spans="1:3" x14ac:dyDescent="0.25">
      <c r="A224">
        <v>223</v>
      </c>
      <c r="B224" t="s">
        <v>143</v>
      </c>
      <c r="C224" t="s">
        <v>1418</v>
      </c>
    </row>
    <row r="225" spans="1:3" x14ac:dyDescent="0.25">
      <c r="A225">
        <v>224</v>
      </c>
      <c r="B225" t="s">
        <v>143</v>
      </c>
      <c r="C225" t="s">
        <v>1419</v>
      </c>
    </row>
    <row r="226" spans="1:3" x14ac:dyDescent="0.25">
      <c r="A226">
        <v>225</v>
      </c>
      <c r="B226" t="s">
        <v>143</v>
      </c>
      <c r="C226" t="s">
        <v>1420</v>
      </c>
    </row>
    <row r="227" spans="1:3" x14ac:dyDescent="0.25">
      <c r="A227">
        <v>226</v>
      </c>
      <c r="B227" t="s">
        <v>143</v>
      </c>
      <c r="C227" t="s">
        <v>1421</v>
      </c>
    </row>
    <row r="228" spans="1:3" x14ac:dyDescent="0.25">
      <c r="A228">
        <v>227</v>
      </c>
      <c r="B228" t="s">
        <v>143</v>
      </c>
      <c r="C228" t="s">
        <v>1422</v>
      </c>
    </row>
    <row r="229" spans="1:3" x14ac:dyDescent="0.25">
      <c r="A229">
        <v>228</v>
      </c>
      <c r="B229" t="s">
        <v>143</v>
      </c>
      <c r="C229" t="s">
        <v>1423</v>
      </c>
    </row>
    <row r="230" spans="1:3" x14ac:dyDescent="0.25">
      <c r="A230">
        <v>229</v>
      </c>
      <c r="B230" t="s">
        <v>143</v>
      </c>
      <c r="C230" t="s">
        <v>1424</v>
      </c>
    </row>
    <row r="231" spans="1:3" x14ac:dyDescent="0.25">
      <c r="A231">
        <v>230</v>
      </c>
      <c r="B231" t="s">
        <v>143</v>
      </c>
      <c r="C231" t="s">
        <v>1425</v>
      </c>
    </row>
    <row r="232" spans="1:3" x14ac:dyDescent="0.25">
      <c r="A232">
        <v>231</v>
      </c>
      <c r="B232" t="s">
        <v>143</v>
      </c>
      <c r="C232" t="s">
        <v>1426</v>
      </c>
    </row>
    <row r="233" spans="1:3" x14ac:dyDescent="0.25">
      <c r="A233">
        <v>232</v>
      </c>
      <c r="B233" t="s">
        <v>143</v>
      </c>
      <c r="C233" t="s">
        <v>1427</v>
      </c>
    </row>
    <row r="234" spans="1:3" x14ac:dyDescent="0.25">
      <c r="A234">
        <v>233</v>
      </c>
      <c r="B234" t="s">
        <v>143</v>
      </c>
      <c r="C234" t="s">
        <v>1428</v>
      </c>
    </row>
    <row r="235" spans="1:3" x14ac:dyDescent="0.25">
      <c r="A235">
        <v>234</v>
      </c>
      <c r="B235" t="s">
        <v>143</v>
      </c>
      <c r="C235" t="s">
        <v>1429</v>
      </c>
    </row>
    <row r="236" spans="1:3" x14ac:dyDescent="0.25">
      <c r="A236">
        <v>235</v>
      </c>
      <c r="B236" t="s">
        <v>143</v>
      </c>
      <c r="C236" t="s">
        <v>1430</v>
      </c>
    </row>
    <row r="237" spans="1:3" x14ac:dyDescent="0.25">
      <c r="A237">
        <v>236</v>
      </c>
      <c r="B237" t="s">
        <v>143</v>
      </c>
      <c r="C237" t="s">
        <v>1431</v>
      </c>
    </row>
    <row r="238" spans="1:3" x14ac:dyDescent="0.25">
      <c r="A238">
        <v>237</v>
      </c>
      <c r="B238" t="s">
        <v>143</v>
      </c>
      <c r="C238" t="s">
        <v>1432</v>
      </c>
    </row>
    <row r="239" spans="1:3" x14ac:dyDescent="0.25">
      <c r="A239">
        <v>238</v>
      </c>
      <c r="B239" t="s">
        <v>143</v>
      </c>
      <c r="C239" t="s">
        <v>1433</v>
      </c>
    </row>
    <row r="240" spans="1:3" x14ac:dyDescent="0.25">
      <c r="A240">
        <v>239</v>
      </c>
      <c r="B240" t="s">
        <v>143</v>
      </c>
      <c r="C240" t="s">
        <v>1434</v>
      </c>
    </row>
    <row r="241" spans="1:3" x14ac:dyDescent="0.25">
      <c r="A241">
        <v>240</v>
      </c>
      <c r="B241" t="s">
        <v>143</v>
      </c>
      <c r="C241" t="s">
        <v>1435</v>
      </c>
    </row>
    <row r="242" spans="1:3" x14ac:dyDescent="0.25">
      <c r="A242">
        <v>241</v>
      </c>
      <c r="B242" t="s">
        <v>143</v>
      </c>
      <c r="C242" t="s">
        <v>1436</v>
      </c>
    </row>
    <row r="243" spans="1:3" x14ac:dyDescent="0.25">
      <c r="A243">
        <v>242</v>
      </c>
      <c r="B243" t="s">
        <v>143</v>
      </c>
      <c r="C243" t="s">
        <v>1437</v>
      </c>
    </row>
    <row r="244" spans="1:3" x14ac:dyDescent="0.25">
      <c r="A244">
        <v>243</v>
      </c>
      <c r="B244" t="s">
        <v>143</v>
      </c>
      <c r="C244" t="s">
        <v>1438</v>
      </c>
    </row>
    <row r="245" spans="1:3" x14ac:dyDescent="0.25">
      <c r="A245">
        <v>244</v>
      </c>
      <c r="B245" t="s">
        <v>143</v>
      </c>
      <c r="C245" t="s">
        <v>1439</v>
      </c>
    </row>
    <row r="246" spans="1:3" x14ac:dyDescent="0.25">
      <c r="A246">
        <v>245</v>
      </c>
      <c r="B246" t="s">
        <v>143</v>
      </c>
      <c r="C246" t="s">
        <v>1440</v>
      </c>
    </row>
    <row r="247" spans="1:3" x14ac:dyDescent="0.25">
      <c r="A247">
        <v>246</v>
      </c>
      <c r="B247" t="s">
        <v>143</v>
      </c>
      <c r="C247" t="s">
        <v>1441</v>
      </c>
    </row>
    <row r="248" spans="1:3" x14ac:dyDescent="0.25">
      <c r="A248">
        <v>247</v>
      </c>
      <c r="B248" t="s">
        <v>143</v>
      </c>
      <c r="C248" t="s">
        <v>1442</v>
      </c>
    </row>
    <row r="249" spans="1:3" x14ac:dyDescent="0.25">
      <c r="A249">
        <v>248</v>
      </c>
      <c r="B249" t="s">
        <v>143</v>
      </c>
      <c r="C249" t="s">
        <v>1443</v>
      </c>
    </row>
    <row r="250" spans="1:3" x14ac:dyDescent="0.25">
      <c r="A250">
        <v>249</v>
      </c>
      <c r="B250" t="s">
        <v>143</v>
      </c>
      <c r="C250" t="s">
        <v>1444</v>
      </c>
    </row>
    <row r="251" spans="1:3" x14ac:dyDescent="0.25">
      <c r="A251">
        <v>250</v>
      </c>
      <c r="B251" t="s">
        <v>143</v>
      </c>
      <c r="C251" t="s">
        <v>1445</v>
      </c>
    </row>
    <row r="252" spans="1:3" x14ac:dyDescent="0.25">
      <c r="A252">
        <v>251</v>
      </c>
      <c r="B252" t="s">
        <v>143</v>
      </c>
      <c r="C252" t="s">
        <v>1446</v>
      </c>
    </row>
    <row r="253" spans="1:3" x14ac:dyDescent="0.25">
      <c r="A253">
        <v>252</v>
      </c>
      <c r="B253" t="s">
        <v>143</v>
      </c>
      <c r="C253" t="s">
        <v>1447</v>
      </c>
    </row>
    <row r="254" spans="1:3" x14ac:dyDescent="0.25">
      <c r="A254">
        <v>253</v>
      </c>
      <c r="B254" t="s">
        <v>143</v>
      </c>
      <c r="C254" t="s">
        <v>1448</v>
      </c>
    </row>
    <row r="255" spans="1:3" x14ac:dyDescent="0.25">
      <c r="A255">
        <v>254</v>
      </c>
      <c r="B255" t="s">
        <v>143</v>
      </c>
      <c r="C255" t="s">
        <v>1449</v>
      </c>
    </row>
    <row r="256" spans="1:3" x14ac:dyDescent="0.25">
      <c r="A256">
        <v>255</v>
      </c>
      <c r="B256" t="s">
        <v>143</v>
      </c>
      <c r="C256" t="s">
        <v>1450</v>
      </c>
    </row>
    <row r="257" spans="1:3" x14ac:dyDescent="0.25">
      <c r="A257">
        <v>256</v>
      </c>
      <c r="B257" t="s">
        <v>143</v>
      </c>
      <c r="C257" t="s">
        <v>1451</v>
      </c>
    </row>
    <row r="258" spans="1:3" x14ac:dyDescent="0.25">
      <c r="A258">
        <v>257</v>
      </c>
      <c r="B258" t="s">
        <v>143</v>
      </c>
      <c r="C258" t="s">
        <v>1452</v>
      </c>
    </row>
    <row r="259" spans="1:3" x14ac:dyDescent="0.25">
      <c r="A259">
        <v>258</v>
      </c>
      <c r="B259" t="s">
        <v>143</v>
      </c>
      <c r="C259" t="s">
        <v>1453</v>
      </c>
    </row>
    <row r="260" spans="1:3" x14ac:dyDescent="0.25">
      <c r="A260">
        <v>259</v>
      </c>
      <c r="B260" t="s">
        <v>143</v>
      </c>
      <c r="C260" t="s">
        <v>1454</v>
      </c>
    </row>
    <row r="261" spans="1:3" x14ac:dyDescent="0.25">
      <c r="A261">
        <v>260</v>
      </c>
      <c r="B261" t="s">
        <v>143</v>
      </c>
      <c r="C261" t="s">
        <v>1455</v>
      </c>
    </row>
    <row r="262" spans="1:3" x14ac:dyDescent="0.25">
      <c r="A262">
        <v>261</v>
      </c>
      <c r="B262" t="s">
        <v>143</v>
      </c>
      <c r="C262" t="s">
        <v>1456</v>
      </c>
    </row>
    <row r="263" spans="1:3" x14ac:dyDescent="0.25">
      <c r="A263">
        <v>262</v>
      </c>
      <c r="B263" t="s">
        <v>143</v>
      </c>
      <c r="C263" t="s">
        <v>1457</v>
      </c>
    </row>
    <row r="264" spans="1:3" x14ac:dyDescent="0.25">
      <c r="A264">
        <v>263</v>
      </c>
      <c r="B264" t="s">
        <v>143</v>
      </c>
      <c r="C264" t="s">
        <v>1458</v>
      </c>
    </row>
    <row r="265" spans="1:3" x14ac:dyDescent="0.25">
      <c r="A265">
        <v>264</v>
      </c>
      <c r="B265" t="s">
        <v>143</v>
      </c>
      <c r="C265" t="s">
        <v>1459</v>
      </c>
    </row>
    <row r="266" spans="1:3" x14ac:dyDescent="0.25">
      <c r="A266">
        <v>265</v>
      </c>
      <c r="B266" t="s">
        <v>143</v>
      </c>
      <c r="C266" t="s">
        <v>1460</v>
      </c>
    </row>
    <row r="267" spans="1:3" x14ac:dyDescent="0.25">
      <c r="A267">
        <v>266</v>
      </c>
      <c r="B267" t="s">
        <v>143</v>
      </c>
      <c r="C267" t="s">
        <v>1461</v>
      </c>
    </row>
    <row r="268" spans="1:3" x14ac:dyDescent="0.25">
      <c r="A268">
        <v>267</v>
      </c>
      <c r="B268" t="s">
        <v>143</v>
      </c>
      <c r="C268" t="s">
        <v>1462</v>
      </c>
    </row>
    <row r="269" spans="1:3" x14ac:dyDescent="0.25">
      <c r="A269">
        <v>268</v>
      </c>
      <c r="B269" t="s">
        <v>143</v>
      </c>
      <c r="C269" t="s">
        <v>1463</v>
      </c>
    </row>
    <row r="270" spans="1:3" x14ac:dyDescent="0.25">
      <c r="A270">
        <v>269</v>
      </c>
      <c r="B270" t="s">
        <v>143</v>
      </c>
      <c r="C270" t="s">
        <v>1464</v>
      </c>
    </row>
    <row r="271" spans="1:3" x14ac:dyDescent="0.25">
      <c r="A271">
        <v>270</v>
      </c>
      <c r="B271" t="s">
        <v>143</v>
      </c>
      <c r="C271" t="s">
        <v>1465</v>
      </c>
    </row>
    <row r="272" spans="1:3" x14ac:dyDescent="0.25">
      <c r="A272">
        <v>271</v>
      </c>
      <c r="B272" t="s">
        <v>143</v>
      </c>
      <c r="C272" t="s">
        <v>1466</v>
      </c>
    </row>
    <row r="273" spans="1:3" x14ac:dyDescent="0.25">
      <c r="A273">
        <v>272</v>
      </c>
      <c r="B273" t="s">
        <v>143</v>
      </c>
      <c r="C273" t="s">
        <v>1467</v>
      </c>
    </row>
    <row r="274" spans="1:3" x14ac:dyDescent="0.25">
      <c r="A274">
        <v>273</v>
      </c>
      <c r="B274" t="s">
        <v>143</v>
      </c>
      <c r="C274" t="s">
        <v>1468</v>
      </c>
    </row>
    <row r="275" spans="1:3" x14ac:dyDescent="0.25">
      <c r="A275">
        <v>274</v>
      </c>
      <c r="B275" t="s">
        <v>143</v>
      </c>
      <c r="C275" t="s">
        <v>1469</v>
      </c>
    </row>
    <row r="276" spans="1:3" x14ac:dyDescent="0.25">
      <c r="A276">
        <v>275</v>
      </c>
      <c r="B276" t="s">
        <v>143</v>
      </c>
      <c r="C276" t="s">
        <v>1470</v>
      </c>
    </row>
    <row r="277" spans="1:3" x14ac:dyDescent="0.25">
      <c r="A277">
        <v>276</v>
      </c>
      <c r="B277" t="s">
        <v>143</v>
      </c>
      <c r="C277" t="s">
        <v>1471</v>
      </c>
    </row>
    <row r="278" spans="1:3" x14ac:dyDescent="0.25">
      <c r="A278">
        <v>277</v>
      </c>
      <c r="B278" t="s">
        <v>143</v>
      </c>
      <c r="C278" t="s">
        <v>1472</v>
      </c>
    </row>
    <row r="279" spans="1:3" x14ac:dyDescent="0.25">
      <c r="A279">
        <v>278</v>
      </c>
      <c r="B279" t="s">
        <v>143</v>
      </c>
      <c r="C279" t="s">
        <v>1473</v>
      </c>
    </row>
    <row r="280" spans="1:3" x14ac:dyDescent="0.25">
      <c r="A280">
        <v>279</v>
      </c>
      <c r="B280" t="s">
        <v>143</v>
      </c>
      <c r="C280" t="s">
        <v>1474</v>
      </c>
    </row>
    <row r="281" spans="1:3" x14ac:dyDescent="0.25">
      <c r="A281">
        <v>280</v>
      </c>
      <c r="B281" t="s">
        <v>143</v>
      </c>
      <c r="C281" t="s">
        <v>1475</v>
      </c>
    </row>
    <row r="282" spans="1:3" x14ac:dyDescent="0.25">
      <c r="A282">
        <v>281</v>
      </c>
      <c r="B282" t="s">
        <v>143</v>
      </c>
      <c r="C282" t="s">
        <v>1476</v>
      </c>
    </row>
    <row r="283" spans="1:3" x14ac:dyDescent="0.25">
      <c r="A283">
        <v>282</v>
      </c>
      <c r="B283" t="s">
        <v>143</v>
      </c>
      <c r="C283" t="s">
        <v>1477</v>
      </c>
    </row>
    <row r="284" spans="1:3" x14ac:dyDescent="0.25">
      <c r="A284">
        <v>283</v>
      </c>
      <c r="B284" t="s">
        <v>143</v>
      </c>
      <c r="C284" t="s">
        <v>1478</v>
      </c>
    </row>
    <row r="285" spans="1:3" x14ac:dyDescent="0.25">
      <c r="A285">
        <v>284</v>
      </c>
      <c r="B285" t="s">
        <v>143</v>
      </c>
      <c r="C285" t="s">
        <v>1479</v>
      </c>
    </row>
    <row r="286" spans="1:3" x14ac:dyDescent="0.25">
      <c r="A286">
        <v>285</v>
      </c>
      <c r="B286" t="s">
        <v>143</v>
      </c>
      <c r="C286" t="s">
        <v>1480</v>
      </c>
    </row>
    <row r="287" spans="1:3" x14ac:dyDescent="0.25">
      <c r="A287">
        <v>286</v>
      </c>
      <c r="B287" t="s">
        <v>143</v>
      </c>
      <c r="C287" t="s">
        <v>1481</v>
      </c>
    </row>
    <row r="288" spans="1:3" x14ac:dyDescent="0.25">
      <c r="A288">
        <v>287</v>
      </c>
      <c r="B288" t="s">
        <v>143</v>
      </c>
      <c r="C288" t="s">
        <v>1482</v>
      </c>
    </row>
    <row r="289" spans="1:3" x14ac:dyDescent="0.25">
      <c r="A289">
        <v>288</v>
      </c>
      <c r="B289" t="s">
        <v>143</v>
      </c>
      <c r="C289" t="s">
        <v>1483</v>
      </c>
    </row>
    <row r="290" spans="1:3" x14ac:dyDescent="0.25">
      <c r="A290">
        <v>289</v>
      </c>
      <c r="B290" t="s">
        <v>3336</v>
      </c>
      <c r="C290" t="s">
        <v>1484</v>
      </c>
    </row>
    <row r="291" spans="1:3" x14ac:dyDescent="0.25">
      <c r="A291">
        <v>290</v>
      </c>
      <c r="B291" t="s">
        <v>3337</v>
      </c>
      <c r="C291" t="s">
        <v>1485</v>
      </c>
    </row>
    <row r="292" spans="1:3" x14ac:dyDescent="0.25">
      <c r="A292">
        <v>291</v>
      </c>
      <c r="B292" t="s">
        <v>143</v>
      </c>
      <c r="C292" t="s">
        <v>1486</v>
      </c>
    </row>
    <row r="293" spans="1:3" x14ac:dyDescent="0.25">
      <c r="A293">
        <v>292</v>
      </c>
      <c r="B293" t="s">
        <v>143</v>
      </c>
      <c r="C293" t="s">
        <v>1487</v>
      </c>
    </row>
    <row r="294" spans="1:3" x14ac:dyDescent="0.25">
      <c r="A294">
        <v>293</v>
      </c>
      <c r="B294" t="s">
        <v>143</v>
      </c>
      <c r="C294" t="s">
        <v>1488</v>
      </c>
    </row>
    <row r="295" spans="1:3" x14ac:dyDescent="0.25">
      <c r="A295">
        <v>294</v>
      </c>
      <c r="B295" t="s">
        <v>143</v>
      </c>
      <c r="C295" t="s">
        <v>1489</v>
      </c>
    </row>
    <row r="296" spans="1:3" x14ac:dyDescent="0.25">
      <c r="A296">
        <v>295</v>
      </c>
      <c r="B296" t="s">
        <v>143</v>
      </c>
      <c r="C296" t="s">
        <v>1490</v>
      </c>
    </row>
    <row r="297" spans="1:3" x14ac:dyDescent="0.25">
      <c r="A297">
        <v>296</v>
      </c>
      <c r="B297" t="s">
        <v>143</v>
      </c>
      <c r="C297" t="s">
        <v>1491</v>
      </c>
    </row>
    <row r="298" spans="1:3" x14ac:dyDescent="0.25">
      <c r="A298">
        <v>297</v>
      </c>
      <c r="B298" t="s">
        <v>143</v>
      </c>
      <c r="C298" t="s">
        <v>1492</v>
      </c>
    </row>
    <row r="299" spans="1:3" x14ac:dyDescent="0.25">
      <c r="A299">
        <v>298</v>
      </c>
      <c r="B299" t="s">
        <v>143</v>
      </c>
      <c r="C299" t="s">
        <v>1493</v>
      </c>
    </row>
    <row r="300" spans="1:3" x14ac:dyDescent="0.25">
      <c r="A300">
        <v>299</v>
      </c>
      <c r="B300" t="s">
        <v>143</v>
      </c>
      <c r="C300" t="s">
        <v>1494</v>
      </c>
    </row>
    <row r="301" spans="1:3" x14ac:dyDescent="0.25">
      <c r="A301">
        <v>300</v>
      </c>
      <c r="B301" t="s">
        <v>143</v>
      </c>
      <c r="C301" t="s">
        <v>1495</v>
      </c>
    </row>
    <row r="302" spans="1:3" x14ac:dyDescent="0.25">
      <c r="A302">
        <v>301</v>
      </c>
      <c r="B302" t="s">
        <v>143</v>
      </c>
      <c r="C302" t="s">
        <v>1496</v>
      </c>
    </row>
    <row r="303" spans="1:3" x14ac:dyDescent="0.25">
      <c r="A303">
        <v>302</v>
      </c>
      <c r="B303" t="s">
        <v>143</v>
      </c>
      <c r="C303" t="s">
        <v>1497</v>
      </c>
    </row>
    <row r="304" spans="1:3" x14ac:dyDescent="0.25">
      <c r="A304">
        <v>303</v>
      </c>
      <c r="B304" t="s">
        <v>143</v>
      </c>
      <c r="C304" t="s">
        <v>1498</v>
      </c>
    </row>
    <row r="305" spans="1:3" x14ac:dyDescent="0.25">
      <c r="A305">
        <v>304</v>
      </c>
      <c r="B305" t="s">
        <v>143</v>
      </c>
      <c r="C305" t="s">
        <v>1499</v>
      </c>
    </row>
    <row r="306" spans="1:3" x14ac:dyDescent="0.25">
      <c r="A306">
        <v>305</v>
      </c>
      <c r="B306" t="s">
        <v>143</v>
      </c>
      <c r="C306" t="s">
        <v>1500</v>
      </c>
    </row>
    <row r="307" spans="1:3" x14ac:dyDescent="0.25">
      <c r="A307">
        <v>306</v>
      </c>
      <c r="B307" t="s">
        <v>143</v>
      </c>
      <c r="C307" t="s">
        <v>1501</v>
      </c>
    </row>
    <row r="308" spans="1:3" x14ac:dyDescent="0.25">
      <c r="A308">
        <v>307</v>
      </c>
      <c r="B308" t="s">
        <v>143</v>
      </c>
      <c r="C308" t="s">
        <v>1502</v>
      </c>
    </row>
    <row r="309" spans="1:3" x14ac:dyDescent="0.25">
      <c r="A309">
        <v>308</v>
      </c>
      <c r="B309" t="s">
        <v>143</v>
      </c>
      <c r="C309" t="s">
        <v>1503</v>
      </c>
    </row>
    <row r="310" spans="1:3" x14ac:dyDescent="0.25">
      <c r="A310">
        <v>309</v>
      </c>
      <c r="B310" t="s">
        <v>143</v>
      </c>
      <c r="C310" t="s">
        <v>1504</v>
      </c>
    </row>
    <row r="311" spans="1:3" x14ac:dyDescent="0.25">
      <c r="A311">
        <v>310</v>
      </c>
      <c r="B311" t="s">
        <v>143</v>
      </c>
      <c r="C311" t="s">
        <v>1505</v>
      </c>
    </row>
    <row r="312" spans="1:3" x14ac:dyDescent="0.25">
      <c r="A312">
        <v>311</v>
      </c>
      <c r="B312" t="s">
        <v>143</v>
      </c>
      <c r="C312" t="s">
        <v>1506</v>
      </c>
    </row>
    <row r="313" spans="1:3" x14ac:dyDescent="0.25">
      <c r="A313">
        <v>312</v>
      </c>
      <c r="B313" t="s">
        <v>143</v>
      </c>
      <c r="C313" t="s">
        <v>1507</v>
      </c>
    </row>
    <row r="314" spans="1:3" x14ac:dyDescent="0.25">
      <c r="A314">
        <v>313</v>
      </c>
      <c r="B314" t="s">
        <v>143</v>
      </c>
      <c r="C314" t="s">
        <v>1508</v>
      </c>
    </row>
    <row r="315" spans="1:3" x14ac:dyDescent="0.25">
      <c r="A315">
        <v>314</v>
      </c>
      <c r="B315" t="s">
        <v>143</v>
      </c>
      <c r="C315" t="s">
        <v>1509</v>
      </c>
    </row>
    <row r="316" spans="1:3" x14ac:dyDescent="0.25">
      <c r="A316">
        <v>315</v>
      </c>
      <c r="B316" t="s">
        <v>143</v>
      </c>
      <c r="C316" t="s">
        <v>1510</v>
      </c>
    </row>
    <row r="317" spans="1:3" x14ac:dyDescent="0.25">
      <c r="A317">
        <v>316</v>
      </c>
      <c r="B317" t="s">
        <v>143</v>
      </c>
      <c r="C317" t="s">
        <v>1511</v>
      </c>
    </row>
    <row r="318" spans="1:3" x14ac:dyDescent="0.25">
      <c r="A318">
        <v>317</v>
      </c>
      <c r="B318" t="s">
        <v>143</v>
      </c>
      <c r="C318" t="s">
        <v>1512</v>
      </c>
    </row>
    <row r="319" spans="1:3" x14ac:dyDescent="0.25">
      <c r="A319">
        <v>318</v>
      </c>
      <c r="B319" t="s">
        <v>3335</v>
      </c>
      <c r="C319" t="s">
        <v>1513</v>
      </c>
    </row>
    <row r="320" spans="1:3" x14ac:dyDescent="0.25">
      <c r="A320">
        <v>319</v>
      </c>
      <c r="B320" t="s">
        <v>143</v>
      </c>
      <c r="C320" t="s">
        <v>1514</v>
      </c>
    </row>
    <row r="321" spans="1:3" x14ac:dyDescent="0.25">
      <c r="A321">
        <v>320</v>
      </c>
      <c r="B321" t="s">
        <v>143</v>
      </c>
      <c r="C321" t="s">
        <v>1515</v>
      </c>
    </row>
    <row r="322" spans="1:3" x14ac:dyDescent="0.25">
      <c r="A322">
        <v>321</v>
      </c>
      <c r="B322" t="s">
        <v>143</v>
      </c>
      <c r="C322" t="s">
        <v>1516</v>
      </c>
    </row>
    <row r="323" spans="1:3" x14ac:dyDescent="0.25">
      <c r="A323">
        <v>322</v>
      </c>
      <c r="B323" t="s">
        <v>143</v>
      </c>
      <c r="C323" t="s">
        <v>1517</v>
      </c>
    </row>
    <row r="324" spans="1:3" x14ac:dyDescent="0.25">
      <c r="A324">
        <v>323</v>
      </c>
      <c r="B324" t="s">
        <v>143</v>
      </c>
      <c r="C324" t="s">
        <v>1518</v>
      </c>
    </row>
    <row r="325" spans="1:3" x14ac:dyDescent="0.25">
      <c r="A325">
        <v>324</v>
      </c>
      <c r="B325" t="s">
        <v>143</v>
      </c>
      <c r="C325" t="s">
        <v>1519</v>
      </c>
    </row>
    <row r="326" spans="1:3" x14ac:dyDescent="0.25">
      <c r="A326">
        <v>325</v>
      </c>
      <c r="B326" t="s">
        <v>143</v>
      </c>
      <c r="C326" t="s">
        <v>1520</v>
      </c>
    </row>
    <row r="327" spans="1:3" x14ac:dyDescent="0.25">
      <c r="A327">
        <v>326</v>
      </c>
      <c r="B327" t="s">
        <v>143</v>
      </c>
      <c r="C327" t="s">
        <v>1521</v>
      </c>
    </row>
    <row r="328" spans="1:3" x14ac:dyDescent="0.25">
      <c r="A328">
        <v>327</v>
      </c>
      <c r="B328" t="s">
        <v>143</v>
      </c>
      <c r="C328" t="s">
        <v>1522</v>
      </c>
    </row>
    <row r="329" spans="1:3" x14ac:dyDescent="0.25">
      <c r="A329">
        <v>328</v>
      </c>
      <c r="B329" t="s">
        <v>143</v>
      </c>
      <c r="C329" t="s">
        <v>1523</v>
      </c>
    </row>
    <row r="330" spans="1:3" x14ac:dyDescent="0.25">
      <c r="A330">
        <v>329</v>
      </c>
      <c r="B330" t="s">
        <v>143</v>
      </c>
      <c r="C330" t="s">
        <v>1524</v>
      </c>
    </row>
    <row r="331" spans="1:3" x14ac:dyDescent="0.25">
      <c r="A331">
        <v>330</v>
      </c>
      <c r="B331" t="s">
        <v>143</v>
      </c>
      <c r="C331" t="s">
        <v>1525</v>
      </c>
    </row>
    <row r="332" spans="1:3" x14ac:dyDescent="0.25">
      <c r="A332">
        <v>331</v>
      </c>
      <c r="B332" t="s">
        <v>143</v>
      </c>
      <c r="C332" t="s">
        <v>1526</v>
      </c>
    </row>
    <row r="333" spans="1:3" x14ac:dyDescent="0.25">
      <c r="A333">
        <v>332</v>
      </c>
      <c r="B333" t="s">
        <v>143</v>
      </c>
      <c r="C333" t="s">
        <v>1527</v>
      </c>
    </row>
    <row r="334" spans="1:3" x14ac:dyDescent="0.25">
      <c r="A334">
        <v>333</v>
      </c>
      <c r="B334" t="s">
        <v>143</v>
      </c>
      <c r="C334" t="s">
        <v>1528</v>
      </c>
    </row>
    <row r="335" spans="1:3" x14ac:dyDescent="0.25">
      <c r="A335">
        <v>334</v>
      </c>
      <c r="B335" t="s">
        <v>143</v>
      </c>
      <c r="C335" t="s">
        <v>1529</v>
      </c>
    </row>
    <row r="336" spans="1:3" x14ac:dyDescent="0.25">
      <c r="A336">
        <v>335</v>
      </c>
      <c r="B336" t="s">
        <v>143</v>
      </c>
      <c r="C336" t="s">
        <v>1530</v>
      </c>
    </row>
    <row r="337" spans="1:3" x14ac:dyDescent="0.25">
      <c r="A337">
        <v>336</v>
      </c>
      <c r="B337" t="s">
        <v>143</v>
      </c>
      <c r="C337" t="s">
        <v>1531</v>
      </c>
    </row>
    <row r="338" spans="1:3" x14ac:dyDescent="0.25">
      <c r="A338">
        <v>337</v>
      </c>
      <c r="B338" t="s">
        <v>143</v>
      </c>
      <c r="C338" t="s">
        <v>1532</v>
      </c>
    </row>
    <row r="339" spans="1:3" x14ac:dyDescent="0.25">
      <c r="A339">
        <v>338</v>
      </c>
      <c r="B339" t="s">
        <v>143</v>
      </c>
      <c r="C339" t="s">
        <v>1533</v>
      </c>
    </row>
    <row r="340" spans="1:3" x14ac:dyDescent="0.25">
      <c r="A340">
        <v>339</v>
      </c>
      <c r="B340" t="s">
        <v>143</v>
      </c>
      <c r="C340" t="s">
        <v>1534</v>
      </c>
    </row>
    <row r="341" spans="1:3" x14ac:dyDescent="0.25">
      <c r="A341">
        <v>340</v>
      </c>
      <c r="B341" t="s">
        <v>143</v>
      </c>
      <c r="C341" t="s">
        <v>1535</v>
      </c>
    </row>
    <row r="342" spans="1:3" x14ac:dyDescent="0.25">
      <c r="A342">
        <v>341</v>
      </c>
      <c r="B342" t="s">
        <v>143</v>
      </c>
      <c r="C342" t="s">
        <v>1536</v>
      </c>
    </row>
    <row r="343" spans="1:3" x14ac:dyDescent="0.25">
      <c r="A343">
        <v>342</v>
      </c>
      <c r="B343" t="s">
        <v>143</v>
      </c>
      <c r="C343" t="s">
        <v>1537</v>
      </c>
    </row>
    <row r="344" spans="1:3" x14ac:dyDescent="0.25">
      <c r="A344">
        <v>343</v>
      </c>
      <c r="B344" t="s">
        <v>143</v>
      </c>
      <c r="C344" t="s">
        <v>1538</v>
      </c>
    </row>
    <row r="345" spans="1:3" x14ac:dyDescent="0.25">
      <c r="A345">
        <v>344</v>
      </c>
      <c r="B345" t="s">
        <v>143</v>
      </c>
      <c r="C345" t="s">
        <v>1539</v>
      </c>
    </row>
    <row r="346" spans="1:3" x14ac:dyDescent="0.25">
      <c r="A346">
        <v>345</v>
      </c>
      <c r="B346" t="s">
        <v>143</v>
      </c>
      <c r="C346" t="s">
        <v>1540</v>
      </c>
    </row>
    <row r="347" spans="1:3" x14ac:dyDescent="0.25">
      <c r="A347">
        <v>346</v>
      </c>
      <c r="B347" t="s">
        <v>143</v>
      </c>
      <c r="C347" t="s">
        <v>1541</v>
      </c>
    </row>
    <row r="348" spans="1:3" x14ac:dyDescent="0.25">
      <c r="A348">
        <v>347</v>
      </c>
      <c r="B348" t="s">
        <v>143</v>
      </c>
      <c r="C348" t="s">
        <v>1542</v>
      </c>
    </row>
    <row r="349" spans="1:3" x14ac:dyDescent="0.25">
      <c r="A349">
        <v>348</v>
      </c>
      <c r="B349" t="s">
        <v>143</v>
      </c>
      <c r="C349" t="s">
        <v>1543</v>
      </c>
    </row>
    <row r="350" spans="1:3" x14ac:dyDescent="0.25">
      <c r="A350">
        <v>349</v>
      </c>
      <c r="B350" t="s">
        <v>143</v>
      </c>
      <c r="C350" t="s">
        <v>1544</v>
      </c>
    </row>
    <row r="351" spans="1:3" x14ac:dyDescent="0.25">
      <c r="A351">
        <v>350</v>
      </c>
      <c r="B351" t="s">
        <v>143</v>
      </c>
      <c r="C351" t="s">
        <v>1545</v>
      </c>
    </row>
    <row r="352" spans="1:3" x14ac:dyDescent="0.25">
      <c r="A352">
        <v>351</v>
      </c>
      <c r="B352" t="s">
        <v>143</v>
      </c>
      <c r="C352" t="s">
        <v>1546</v>
      </c>
    </row>
    <row r="353" spans="1:3" x14ac:dyDescent="0.25">
      <c r="A353">
        <v>352</v>
      </c>
      <c r="B353" t="s">
        <v>143</v>
      </c>
      <c r="C353" t="s">
        <v>1547</v>
      </c>
    </row>
    <row r="354" spans="1:3" x14ac:dyDescent="0.25">
      <c r="A354">
        <v>353</v>
      </c>
      <c r="B354" t="s">
        <v>143</v>
      </c>
      <c r="C354" t="s">
        <v>1548</v>
      </c>
    </row>
    <row r="355" spans="1:3" x14ac:dyDescent="0.25">
      <c r="A355">
        <v>354</v>
      </c>
      <c r="B355" t="s">
        <v>143</v>
      </c>
      <c r="C355" t="s">
        <v>1549</v>
      </c>
    </row>
    <row r="356" spans="1:3" x14ac:dyDescent="0.25">
      <c r="A356">
        <v>355</v>
      </c>
      <c r="B356" t="s">
        <v>143</v>
      </c>
      <c r="C356" t="s">
        <v>1550</v>
      </c>
    </row>
    <row r="357" spans="1:3" x14ac:dyDescent="0.25">
      <c r="A357">
        <v>356</v>
      </c>
      <c r="B357" t="s">
        <v>143</v>
      </c>
      <c r="C357" t="s">
        <v>1551</v>
      </c>
    </row>
    <row r="358" spans="1:3" x14ac:dyDescent="0.25">
      <c r="A358">
        <v>357</v>
      </c>
      <c r="B358" t="s">
        <v>143</v>
      </c>
      <c r="C358" t="s">
        <v>1552</v>
      </c>
    </row>
    <row r="359" spans="1:3" x14ac:dyDescent="0.25">
      <c r="A359">
        <v>358</v>
      </c>
      <c r="B359" t="s">
        <v>143</v>
      </c>
      <c r="C359" t="s">
        <v>1553</v>
      </c>
    </row>
    <row r="360" spans="1:3" x14ac:dyDescent="0.25">
      <c r="A360">
        <v>359</v>
      </c>
      <c r="B360" t="s">
        <v>143</v>
      </c>
      <c r="C360" t="s">
        <v>1554</v>
      </c>
    </row>
    <row r="361" spans="1:3" x14ac:dyDescent="0.25">
      <c r="A361">
        <v>360</v>
      </c>
      <c r="B361" t="s">
        <v>143</v>
      </c>
      <c r="C361" t="s">
        <v>1555</v>
      </c>
    </row>
    <row r="362" spans="1:3" x14ac:dyDescent="0.25">
      <c r="A362">
        <v>361</v>
      </c>
      <c r="B362" t="s">
        <v>143</v>
      </c>
      <c r="C362" t="s">
        <v>1556</v>
      </c>
    </row>
    <row r="363" spans="1:3" x14ac:dyDescent="0.25">
      <c r="A363">
        <v>362</v>
      </c>
      <c r="B363" t="s">
        <v>143</v>
      </c>
      <c r="C363" t="s">
        <v>1557</v>
      </c>
    </row>
    <row r="364" spans="1:3" x14ac:dyDescent="0.25">
      <c r="A364">
        <v>363</v>
      </c>
      <c r="B364" t="s">
        <v>143</v>
      </c>
      <c r="C364" t="s">
        <v>1558</v>
      </c>
    </row>
    <row r="365" spans="1:3" x14ac:dyDescent="0.25">
      <c r="A365">
        <v>364</v>
      </c>
      <c r="B365" t="s">
        <v>143</v>
      </c>
      <c r="C365" t="s">
        <v>1559</v>
      </c>
    </row>
    <row r="366" spans="1:3" x14ac:dyDescent="0.25">
      <c r="A366">
        <v>365</v>
      </c>
      <c r="B366" t="s">
        <v>143</v>
      </c>
      <c r="C366" t="s">
        <v>1560</v>
      </c>
    </row>
    <row r="367" spans="1:3" x14ac:dyDescent="0.25">
      <c r="A367">
        <v>366</v>
      </c>
      <c r="B367" t="s">
        <v>143</v>
      </c>
      <c r="C367" t="s">
        <v>1561</v>
      </c>
    </row>
    <row r="368" spans="1:3" x14ac:dyDescent="0.25">
      <c r="A368">
        <v>367</v>
      </c>
      <c r="B368" t="s">
        <v>143</v>
      </c>
      <c r="C368" t="s">
        <v>1562</v>
      </c>
    </row>
    <row r="369" spans="1:3" x14ac:dyDescent="0.25">
      <c r="A369">
        <v>368</v>
      </c>
      <c r="B369" t="s">
        <v>143</v>
      </c>
      <c r="C369" t="s">
        <v>1563</v>
      </c>
    </row>
    <row r="370" spans="1:3" x14ac:dyDescent="0.25">
      <c r="A370">
        <v>369</v>
      </c>
      <c r="B370" t="s">
        <v>143</v>
      </c>
      <c r="C370" t="s">
        <v>1564</v>
      </c>
    </row>
    <row r="371" spans="1:3" x14ac:dyDescent="0.25">
      <c r="A371">
        <v>370</v>
      </c>
      <c r="B371" t="s">
        <v>143</v>
      </c>
      <c r="C371" t="s">
        <v>1565</v>
      </c>
    </row>
    <row r="372" spans="1:3" x14ac:dyDescent="0.25">
      <c r="A372">
        <v>371</v>
      </c>
      <c r="B372" t="s">
        <v>143</v>
      </c>
      <c r="C372" t="s">
        <v>1566</v>
      </c>
    </row>
    <row r="373" spans="1:3" x14ac:dyDescent="0.25">
      <c r="A373">
        <v>372</v>
      </c>
      <c r="B373" t="s">
        <v>143</v>
      </c>
      <c r="C373" t="s">
        <v>1567</v>
      </c>
    </row>
    <row r="374" spans="1:3" x14ac:dyDescent="0.25">
      <c r="A374">
        <v>373</v>
      </c>
      <c r="B374" t="s">
        <v>143</v>
      </c>
      <c r="C374" t="s">
        <v>1568</v>
      </c>
    </row>
    <row r="375" spans="1:3" x14ac:dyDescent="0.25">
      <c r="A375">
        <v>374</v>
      </c>
      <c r="B375" t="s">
        <v>143</v>
      </c>
      <c r="C375" t="s">
        <v>1569</v>
      </c>
    </row>
    <row r="376" spans="1:3" x14ac:dyDescent="0.25">
      <c r="A376">
        <v>375</v>
      </c>
      <c r="B376" t="s">
        <v>143</v>
      </c>
      <c r="C376" t="s">
        <v>1570</v>
      </c>
    </row>
    <row r="377" spans="1:3" x14ac:dyDescent="0.25">
      <c r="A377">
        <v>376</v>
      </c>
      <c r="B377" t="s">
        <v>143</v>
      </c>
      <c r="C377" t="s">
        <v>1571</v>
      </c>
    </row>
    <row r="378" spans="1:3" x14ac:dyDescent="0.25">
      <c r="A378">
        <v>377</v>
      </c>
      <c r="B378" t="s">
        <v>143</v>
      </c>
      <c r="C378" t="s">
        <v>1572</v>
      </c>
    </row>
    <row r="379" spans="1:3" x14ac:dyDescent="0.25">
      <c r="A379">
        <v>378</v>
      </c>
      <c r="B379" t="s">
        <v>143</v>
      </c>
      <c r="C379" t="s">
        <v>1573</v>
      </c>
    </row>
    <row r="380" spans="1:3" x14ac:dyDescent="0.25">
      <c r="A380">
        <v>379</v>
      </c>
      <c r="B380" t="s">
        <v>143</v>
      </c>
      <c r="C380" t="s">
        <v>1574</v>
      </c>
    </row>
    <row r="381" spans="1:3" x14ac:dyDescent="0.25">
      <c r="A381">
        <v>380</v>
      </c>
      <c r="B381" t="s">
        <v>143</v>
      </c>
      <c r="C381" t="s">
        <v>1575</v>
      </c>
    </row>
    <row r="382" spans="1:3" x14ac:dyDescent="0.25">
      <c r="A382">
        <v>381</v>
      </c>
      <c r="B382" t="s">
        <v>143</v>
      </c>
      <c r="C382" t="s">
        <v>1576</v>
      </c>
    </row>
    <row r="383" spans="1:3" x14ac:dyDescent="0.25">
      <c r="A383">
        <v>382</v>
      </c>
      <c r="B383" t="s">
        <v>143</v>
      </c>
      <c r="C383" t="s">
        <v>1577</v>
      </c>
    </row>
    <row r="384" spans="1:3" x14ac:dyDescent="0.25">
      <c r="A384">
        <v>383</v>
      </c>
      <c r="B384" t="s">
        <v>143</v>
      </c>
      <c r="C384" t="s">
        <v>1578</v>
      </c>
    </row>
    <row r="385" spans="1:3" x14ac:dyDescent="0.25">
      <c r="A385">
        <v>384</v>
      </c>
      <c r="B385" t="s">
        <v>143</v>
      </c>
      <c r="C385" t="s">
        <v>1579</v>
      </c>
    </row>
    <row r="386" spans="1:3" x14ac:dyDescent="0.25">
      <c r="A386">
        <v>385</v>
      </c>
      <c r="B386" t="s">
        <v>143</v>
      </c>
      <c r="C386" t="s">
        <v>1580</v>
      </c>
    </row>
    <row r="387" spans="1:3" x14ac:dyDescent="0.25">
      <c r="A387">
        <v>386</v>
      </c>
      <c r="B387" t="s">
        <v>143</v>
      </c>
      <c r="C387" t="s">
        <v>1581</v>
      </c>
    </row>
    <row r="388" spans="1:3" x14ac:dyDescent="0.25">
      <c r="A388">
        <v>387</v>
      </c>
      <c r="B388" t="s">
        <v>143</v>
      </c>
      <c r="C388" t="s">
        <v>1582</v>
      </c>
    </row>
    <row r="389" spans="1:3" x14ac:dyDescent="0.25">
      <c r="A389">
        <v>388</v>
      </c>
      <c r="B389" t="s">
        <v>143</v>
      </c>
      <c r="C389" t="s">
        <v>1583</v>
      </c>
    </row>
    <row r="390" spans="1:3" x14ac:dyDescent="0.25">
      <c r="A390">
        <v>389</v>
      </c>
      <c r="B390" t="s">
        <v>143</v>
      </c>
      <c r="C390" t="s">
        <v>1584</v>
      </c>
    </row>
    <row r="391" spans="1:3" x14ac:dyDescent="0.25">
      <c r="A391">
        <v>390</v>
      </c>
      <c r="B391" t="s">
        <v>143</v>
      </c>
      <c r="C391" t="s">
        <v>1585</v>
      </c>
    </row>
    <row r="392" spans="1:3" x14ac:dyDescent="0.25">
      <c r="A392">
        <v>391</v>
      </c>
      <c r="B392" t="s">
        <v>143</v>
      </c>
      <c r="C392" t="s">
        <v>1586</v>
      </c>
    </row>
    <row r="393" spans="1:3" x14ac:dyDescent="0.25">
      <c r="A393">
        <v>392</v>
      </c>
      <c r="B393" t="s">
        <v>143</v>
      </c>
      <c r="C393" t="s">
        <v>1587</v>
      </c>
    </row>
    <row r="394" spans="1:3" x14ac:dyDescent="0.25">
      <c r="A394">
        <v>393</v>
      </c>
      <c r="B394" t="s">
        <v>143</v>
      </c>
      <c r="C394" t="s">
        <v>1588</v>
      </c>
    </row>
    <row r="395" spans="1:3" x14ac:dyDescent="0.25">
      <c r="A395">
        <v>394</v>
      </c>
      <c r="B395" t="s">
        <v>143</v>
      </c>
      <c r="C395" t="s">
        <v>1589</v>
      </c>
    </row>
    <row r="396" spans="1:3" x14ac:dyDescent="0.25">
      <c r="A396">
        <v>395</v>
      </c>
      <c r="B396" t="s">
        <v>143</v>
      </c>
      <c r="C396" t="s">
        <v>1590</v>
      </c>
    </row>
    <row r="397" spans="1:3" x14ac:dyDescent="0.25">
      <c r="A397">
        <v>396</v>
      </c>
      <c r="B397" t="s">
        <v>143</v>
      </c>
      <c r="C397" t="s">
        <v>1591</v>
      </c>
    </row>
    <row r="398" spans="1:3" x14ac:dyDescent="0.25">
      <c r="A398">
        <v>397</v>
      </c>
      <c r="B398" t="s">
        <v>143</v>
      </c>
      <c r="C398" t="s">
        <v>1592</v>
      </c>
    </row>
    <row r="399" spans="1:3" x14ac:dyDescent="0.25">
      <c r="A399">
        <v>398</v>
      </c>
      <c r="B399" t="s">
        <v>143</v>
      </c>
      <c r="C399" t="s">
        <v>1593</v>
      </c>
    </row>
    <row r="400" spans="1:3" x14ac:dyDescent="0.25">
      <c r="A400">
        <v>399</v>
      </c>
      <c r="B400" t="s">
        <v>143</v>
      </c>
      <c r="C400" t="s">
        <v>1594</v>
      </c>
    </row>
    <row r="401" spans="1:3" x14ac:dyDescent="0.25">
      <c r="A401">
        <v>400</v>
      </c>
      <c r="B401" t="s">
        <v>143</v>
      </c>
      <c r="C401" t="s">
        <v>1595</v>
      </c>
    </row>
    <row r="402" spans="1:3" x14ac:dyDescent="0.25">
      <c r="A402">
        <v>401</v>
      </c>
      <c r="B402" t="s">
        <v>143</v>
      </c>
      <c r="C402" t="s">
        <v>1596</v>
      </c>
    </row>
    <row r="403" spans="1:3" x14ac:dyDescent="0.25">
      <c r="A403">
        <v>402</v>
      </c>
      <c r="B403" t="s">
        <v>143</v>
      </c>
      <c r="C403" t="s">
        <v>1597</v>
      </c>
    </row>
    <row r="404" spans="1:3" x14ac:dyDescent="0.25">
      <c r="A404">
        <v>403</v>
      </c>
      <c r="B404" t="s">
        <v>143</v>
      </c>
      <c r="C404" t="s">
        <v>1598</v>
      </c>
    </row>
    <row r="405" spans="1:3" x14ac:dyDescent="0.25">
      <c r="A405">
        <v>404</v>
      </c>
      <c r="B405" t="s">
        <v>143</v>
      </c>
      <c r="C405" t="s">
        <v>1599</v>
      </c>
    </row>
    <row r="406" spans="1:3" x14ac:dyDescent="0.25">
      <c r="A406">
        <v>405</v>
      </c>
      <c r="B406" t="s">
        <v>143</v>
      </c>
      <c r="C406" t="s">
        <v>1600</v>
      </c>
    </row>
    <row r="407" spans="1:3" x14ac:dyDescent="0.25">
      <c r="A407">
        <v>406</v>
      </c>
      <c r="B407" t="s">
        <v>143</v>
      </c>
      <c r="C407" t="s">
        <v>1601</v>
      </c>
    </row>
    <row r="408" spans="1:3" x14ac:dyDescent="0.25">
      <c r="A408">
        <v>407</v>
      </c>
      <c r="B408" t="s">
        <v>143</v>
      </c>
      <c r="C408" t="s">
        <v>1602</v>
      </c>
    </row>
    <row r="409" spans="1:3" x14ac:dyDescent="0.25">
      <c r="A409">
        <v>408</v>
      </c>
      <c r="B409" t="s">
        <v>143</v>
      </c>
      <c r="C409" t="s">
        <v>1603</v>
      </c>
    </row>
    <row r="410" spans="1:3" x14ac:dyDescent="0.25">
      <c r="A410">
        <v>409</v>
      </c>
      <c r="B410" t="s">
        <v>143</v>
      </c>
      <c r="C410" t="s">
        <v>1604</v>
      </c>
    </row>
    <row r="411" spans="1:3" x14ac:dyDescent="0.25">
      <c r="A411">
        <v>410</v>
      </c>
      <c r="B411" t="s">
        <v>143</v>
      </c>
      <c r="C411" t="s">
        <v>1605</v>
      </c>
    </row>
    <row r="412" spans="1:3" x14ac:dyDescent="0.25">
      <c r="A412">
        <v>411</v>
      </c>
      <c r="B412" t="s">
        <v>143</v>
      </c>
      <c r="C412" t="s">
        <v>1606</v>
      </c>
    </row>
    <row r="413" spans="1:3" x14ac:dyDescent="0.25">
      <c r="A413">
        <v>412</v>
      </c>
      <c r="B413" t="s">
        <v>143</v>
      </c>
      <c r="C413" t="s">
        <v>1607</v>
      </c>
    </row>
    <row r="414" spans="1:3" x14ac:dyDescent="0.25">
      <c r="A414">
        <v>413</v>
      </c>
      <c r="B414" t="s">
        <v>143</v>
      </c>
      <c r="C414" t="s">
        <v>1608</v>
      </c>
    </row>
    <row r="415" spans="1:3" x14ac:dyDescent="0.25">
      <c r="A415">
        <v>414</v>
      </c>
      <c r="B415" t="s">
        <v>143</v>
      </c>
      <c r="C415" t="s">
        <v>1609</v>
      </c>
    </row>
    <row r="416" spans="1:3" x14ac:dyDescent="0.25">
      <c r="A416">
        <v>415</v>
      </c>
      <c r="B416" t="s">
        <v>143</v>
      </c>
      <c r="C416" t="s">
        <v>1610</v>
      </c>
    </row>
    <row r="417" spans="1:3" x14ac:dyDescent="0.25">
      <c r="A417">
        <v>416</v>
      </c>
      <c r="B417" t="s">
        <v>143</v>
      </c>
      <c r="C417" t="s">
        <v>1611</v>
      </c>
    </row>
    <row r="418" spans="1:3" x14ac:dyDescent="0.25">
      <c r="A418">
        <v>417</v>
      </c>
      <c r="B418" t="s">
        <v>143</v>
      </c>
      <c r="C418" t="s">
        <v>1612</v>
      </c>
    </row>
    <row r="419" spans="1:3" x14ac:dyDescent="0.25">
      <c r="A419">
        <v>418</v>
      </c>
      <c r="B419" t="s">
        <v>143</v>
      </c>
      <c r="C419" t="s">
        <v>1613</v>
      </c>
    </row>
    <row r="420" spans="1:3" x14ac:dyDescent="0.25">
      <c r="A420">
        <v>419</v>
      </c>
      <c r="B420" t="s">
        <v>143</v>
      </c>
      <c r="C420" t="s">
        <v>1614</v>
      </c>
    </row>
    <row r="421" spans="1:3" x14ac:dyDescent="0.25">
      <c r="A421">
        <v>420</v>
      </c>
      <c r="B421" t="s">
        <v>143</v>
      </c>
      <c r="C421" t="s">
        <v>1615</v>
      </c>
    </row>
    <row r="422" spans="1:3" x14ac:dyDescent="0.25">
      <c r="A422">
        <v>421</v>
      </c>
      <c r="B422" t="s">
        <v>143</v>
      </c>
      <c r="C422" t="s">
        <v>1616</v>
      </c>
    </row>
    <row r="423" spans="1:3" x14ac:dyDescent="0.25">
      <c r="A423">
        <v>422</v>
      </c>
      <c r="B423" t="s">
        <v>143</v>
      </c>
      <c r="C423" t="s">
        <v>1617</v>
      </c>
    </row>
    <row r="424" spans="1:3" x14ac:dyDescent="0.25">
      <c r="A424">
        <v>423</v>
      </c>
      <c r="B424" t="s">
        <v>143</v>
      </c>
      <c r="C424" t="s">
        <v>1618</v>
      </c>
    </row>
    <row r="425" spans="1:3" x14ac:dyDescent="0.25">
      <c r="A425">
        <v>424</v>
      </c>
      <c r="B425" t="s">
        <v>143</v>
      </c>
      <c r="C425" t="s">
        <v>1619</v>
      </c>
    </row>
    <row r="426" spans="1:3" x14ac:dyDescent="0.25">
      <c r="A426">
        <v>425</v>
      </c>
      <c r="B426" t="s">
        <v>143</v>
      </c>
      <c r="C426" t="s">
        <v>1620</v>
      </c>
    </row>
    <row r="427" spans="1:3" x14ac:dyDescent="0.25">
      <c r="A427">
        <v>426</v>
      </c>
      <c r="B427" t="s">
        <v>143</v>
      </c>
      <c r="C427" t="s">
        <v>1621</v>
      </c>
    </row>
    <row r="428" spans="1:3" x14ac:dyDescent="0.25">
      <c r="A428">
        <v>427</v>
      </c>
      <c r="B428" t="s">
        <v>143</v>
      </c>
      <c r="C428" t="s">
        <v>1622</v>
      </c>
    </row>
    <row r="429" spans="1:3" x14ac:dyDescent="0.25">
      <c r="A429">
        <v>428</v>
      </c>
      <c r="B429" t="s">
        <v>143</v>
      </c>
      <c r="C429" t="s">
        <v>1623</v>
      </c>
    </row>
    <row r="430" spans="1:3" x14ac:dyDescent="0.25">
      <c r="A430">
        <v>429</v>
      </c>
      <c r="B430" t="s">
        <v>143</v>
      </c>
      <c r="C430" t="s">
        <v>1624</v>
      </c>
    </row>
    <row r="431" spans="1:3" x14ac:dyDescent="0.25">
      <c r="A431">
        <v>430</v>
      </c>
      <c r="B431" t="s">
        <v>143</v>
      </c>
      <c r="C431" t="s">
        <v>1625</v>
      </c>
    </row>
    <row r="432" spans="1:3" x14ac:dyDescent="0.25">
      <c r="A432">
        <v>431</v>
      </c>
      <c r="B432" t="s">
        <v>143</v>
      </c>
      <c r="C432" t="s">
        <v>1626</v>
      </c>
    </row>
    <row r="433" spans="1:3" x14ac:dyDescent="0.25">
      <c r="A433">
        <v>432</v>
      </c>
      <c r="B433" t="s">
        <v>143</v>
      </c>
      <c r="C433" t="s">
        <v>1627</v>
      </c>
    </row>
    <row r="434" spans="1:3" x14ac:dyDescent="0.25">
      <c r="A434">
        <v>433</v>
      </c>
      <c r="B434" t="s">
        <v>143</v>
      </c>
      <c r="C434" t="s">
        <v>1628</v>
      </c>
    </row>
    <row r="435" spans="1:3" x14ac:dyDescent="0.25">
      <c r="A435">
        <v>434</v>
      </c>
      <c r="B435" t="s">
        <v>143</v>
      </c>
      <c r="C435" t="s">
        <v>1629</v>
      </c>
    </row>
    <row r="436" spans="1:3" x14ac:dyDescent="0.25">
      <c r="A436">
        <v>435</v>
      </c>
      <c r="B436" t="s">
        <v>143</v>
      </c>
      <c r="C436" t="s">
        <v>1630</v>
      </c>
    </row>
    <row r="437" spans="1:3" x14ac:dyDescent="0.25">
      <c r="A437">
        <v>436</v>
      </c>
      <c r="B437" t="s">
        <v>143</v>
      </c>
      <c r="C437" t="s">
        <v>1631</v>
      </c>
    </row>
    <row r="438" spans="1:3" x14ac:dyDescent="0.25">
      <c r="A438">
        <v>437</v>
      </c>
      <c r="B438" t="s">
        <v>143</v>
      </c>
      <c r="C438" t="s">
        <v>1632</v>
      </c>
    </row>
    <row r="439" spans="1:3" x14ac:dyDescent="0.25">
      <c r="A439">
        <v>438</v>
      </c>
      <c r="B439" t="s">
        <v>143</v>
      </c>
      <c r="C439" t="s">
        <v>1633</v>
      </c>
    </row>
    <row r="440" spans="1:3" x14ac:dyDescent="0.25">
      <c r="A440">
        <v>439</v>
      </c>
      <c r="B440" t="s">
        <v>143</v>
      </c>
      <c r="C440" t="s">
        <v>1634</v>
      </c>
    </row>
    <row r="441" spans="1:3" x14ac:dyDescent="0.25">
      <c r="A441">
        <v>440</v>
      </c>
      <c r="B441" t="s">
        <v>143</v>
      </c>
      <c r="C441" t="s">
        <v>1635</v>
      </c>
    </row>
    <row r="442" spans="1:3" x14ac:dyDescent="0.25">
      <c r="A442">
        <v>441</v>
      </c>
      <c r="B442" t="s">
        <v>143</v>
      </c>
      <c r="C442" t="s">
        <v>1636</v>
      </c>
    </row>
    <row r="443" spans="1:3" x14ac:dyDescent="0.25">
      <c r="A443">
        <v>442</v>
      </c>
      <c r="B443" t="s">
        <v>143</v>
      </c>
      <c r="C443" t="s">
        <v>1637</v>
      </c>
    </row>
    <row r="444" spans="1:3" x14ac:dyDescent="0.25">
      <c r="A444">
        <v>443</v>
      </c>
      <c r="B444" t="s">
        <v>143</v>
      </c>
      <c r="C444" t="s">
        <v>1638</v>
      </c>
    </row>
    <row r="445" spans="1:3" x14ac:dyDescent="0.25">
      <c r="A445">
        <v>444</v>
      </c>
      <c r="B445" t="s">
        <v>143</v>
      </c>
      <c r="C445" t="s">
        <v>1639</v>
      </c>
    </row>
    <row r="446" spans="1:3" x14ac:dyDescent="0.25">
      <c r="A446">
        <v>445</v>
      </c>
      <c r="B446" t="s">
        <v>143</v>
      </c>
      <c r="C446" t="s">
        <v>1640</v>
      </c>
    </row>
    <row r="447" spans="1:3" x14ac:dyDescent="0.25">
      <c r="A447">
        <v>446</v>
      </c>
      <c r="B447" t="s">
        <v>143</v>
      </c>
      <c r="C447" t="s">
        <v>1641</v>
      </c>
    </row>
    <row r="448" spans="1:3" x14ac:dyDescent="0.25">
      <c r="A448">
        <v>447</v>
      </c>
      <c r="B448" t="s">
        <v>143</v>
      </c>
      <c r="C448" t="s">
        <v>1642</v>
      </c>
    </row>
    <row r="449" spans="1:3" x14ac:dyDescent="0.25">
      <c r="A449">
        <v>448</v>
      </c>
      <c r="B449" t="s">
        <v>143</v>
      </c>
      <c r="C449" t="s">
        <v>1643</v>
      </c>
    </row>
    <row r="450" spans="1:3" x14ac:dyDescent="0.25">
      <c r="A450">
        <v>449</v>
      </c>
      <c r="B450" t="s">
        <v>143</v>
      </c>
      <c r="C450" t="s">
        <v>1644</v>
      </c>
    </row>
    <row r="451" spans="1:3" x14ac:dyDescent="0.25">
      <c r="A451">
        <v>450</v>
      </c>
      <c r="B451" t="s">
        <v>143</v>
      </c>
      <c r="C451" t="s">
        <v>1645</v>
      </c>
    </row>
    <row r="452" spans="1:3" x14ac:dyDescent="0.25">
      <c r="A452">
        <v>451</v>
      </c>
      <c r="B452" t="s">
        <v>143</v>
      </c>
      <c r="C452" t="s">
        <v>1646</v>
      </c>
    </row>
    <row r="453" spans="1:3" x14ac:dyDescent="0.25">
      <c r="A453">
        <v>452</v>
      </c>
      <c r="B453" t="s">
        <v>143</v>
      </c>
      <c r="C453" t="s">
        <v>1647</v>
      </c>
    </row>
    <row r="454" spans="1:3" x14ac:dyDescent="0.25">
      <c r="A454">
        <v>453</v>
      </c>
      <c r="B454" t="s">
        <v>143</v>
      </c>
      <c r="C454" t="s">
        <v>1648</v>
      </c>
    </row>
    <row r="455" spans="1:3" x14ac:dyDescent="0.25">
      <c r="A455">
        <v>454</v>
      </c>
      <c r="B455" t="s">
        <v>143</v>
      </c>
      <c r="C455" t="s">
        <v>1649</v>
      </c>
    </row>
    <row r="456" spans="1:3" x14ac:dyDescent="0.25">
      <c r="A456">
        <v>455</v>
      </c>
      <c r="B456" t="s">
        <v>143</v>
      </c>
      <c r="C456" t="s">
        <v>1650</v>
      </c>
    </row>
    <row r="457" spans="1:3" x14ac:dyDescent="0.25">
      <c r="A457">
        <v>456</v>
      </c>
      <c r="B457" t="s">
        <v>143</v>
      </c>
      <c r="C457" t="s">
        <v>1651</v>
      </c>
    </row>
    <row r="458" spans="1:3" x14ac:dyDescent="0.25">
      <c r="A458">
        <v>457</v>
      </c>
      <c r="B458" t="s">
        <v>143</v>
      </c>
      <c r="C458" t="s">
        <v>1652</v>
      </c>
    </row>
    <row r="459" spans="1:3" x14ac:dyDescent="0.25">
      <c r="A459">
        <v>458</v>
      </c>
      <c r="B459" t="s">
        <v>143</v>
      </c>
      <c r="C459" t="s">
        <v>1653</v>
      </c>
    </row>
    <row r="460" spans="1:3" x14ac:dyDescent="0.25">
      <c r="A460">
        <v>459</v>
      </c>
      <c r="B460" t="s">
        <v>143</v>
      </c>
      <c r="C460" t="s">
        <v>1654</v>
      </c>
    </row>
    <row r="461" spans="1:3" x14ac:dyDescent="0.25">
      <c r="A461">
        <v>460</v>
      </c>
      <c r="B461" t="s">
        <v>143</v>
      </c>
      <c r="C461" t="s">
        <v>1655</v>
      </c>
    </row>
    <row r="462" spans="1:3" x14ac:dyDescent="0.25">
      <c r="A462">
        <v>461</v>
      </c>
      <c r="B462" t="s">
        <v>143</v>
      </c>
      <c r="C462" t="s">
        <v>1656</v>
      </c>
    </row>
    <row r="463" spans="1:3" x14ac:dyDescent="0.25">
      <c r="A463">
        <v>462</v>
      </c>
      <c r="B463" t="s">
        <v>143</v>
      </c>
      <c r="C463" t="s">
        <v>1657</v>
      </c>
    </row>
    <row r="464" spans="1:3" x14ac:dyDescent="0.25">
      <c r="A464">
        <v>463</v>
      </c>
      <c r="B464" t="s">
        <v>143</v>
      </c>
      <c r="C464" t="s">
        <v>1658</v>
      </c>
    </row>
    <row r="465" spans="1:3" x14ac:dyDescent="0.25">
      <c r="A465">
        <v>464</v>
      </c>
      <c r="B465" t="s">
        <v>143</v>
      </c>
      <c r="C465" t="s">
        <v>1659</v>
      </c>
    </row>
    <row r="466" spans="1:3" x14ac:dyDescent="0.25">
      <c r="A466">
        <v>465</v>
      </c>
      <c r="B466" t="s">
        <v>143</v>
      </c>
      <c r="C466" t="s">
        <v>1660</v>
      </c>
    </row>
    <row r="467" spans="1:3" x14ac:dyDescent="0.25">
      <c r="A467">
        <v>466</v>
      </c>
      <c r="B467" t="s">
        <v>143</v>
      </c>
      <c r="C467" t="s">
        <v>1661</v>
      </c>
    </row>
    <row r="468" spans="1:3" x14ac:dyDescent="0.25">
      <c r="A468">
        <v>467</v>
      </c>
      <c r="B468" t="s">
        <v>143</v>
      </c>
      <c r="C468" t="s">
        <v>1662</v>
      </c>
    </row>
    <row r="469" spans="1:3" x14ac:dyDescent="0.25">
      <c r="A469">
        <v>468</v>
      </c>
      <c r="B469" t="s">
        <v>143</v>
      </c>
      <c r="C469" t="s">
        <v>1663</v>
      </c>
    </row>
    <row r="470" spans="1:3" x14ac:dyDescent="0.25">
      <c r="A470">
        <v>469</v>
      </c>
      <c r="B470" t="s">
        <v>143</v>
      </c>
      <c r="C470" t="s">
        <v>1664</v>
      </c>
    </row>
    <row r="471" spans="1:3" x14ac:dyDescent="0.25">
      <c r="A471">
        <v>470</v>
      </c>
      <c r="B471" t="s">
        <v>143</v>
      </c>
      <c r="C471" t="s">
        <v>1665</v>
      </c>
    </row>
    <row r="472" spans="1:3" x14ac:dyDescent="0.25">
      <c r="A472">
        <v>471</v>
      </c>
      <c r="B472" t="s">
        <v>143</v>
      </c>
      <c r="C472" t="s">
        <v>1666</v>
      </c>
    </row>
    <row r="473" spans="1:3" x14ac:dyDescent="0.25">
      <c r="A473">
        <v>472</v>
      </c>
      <c r="B473" t="s">
        <v>3323</v>
      </c>
      <c r="C473" t="s">
        <v>1667</v>
      </c>
    </row>
    <row r="474" spans="1:3" x14ac:dyDescent="0.25">
      <c r="A474">
        <v>473</v>
      </c>
      <c r="B474" t="s">
        <v>3324</v>
      </c>
      <c r="C474" t="s">
        <v>1668</v>
      </c>
    </row>
    <row r="475" spans="1:3" x14ac:dyDescent="0.25">
      <c r="A475">
        <v>474</v>
      </c>
      <c r="B475" t="s">
        <v>3325</v>
      </c>
      <c r="C475" t="s">
        <v>1669</v>
      </c>
    </row>
    <row r="476" spans="1:3" x14ac:dyDescent="0.25">
      <c r="A476">
        <v>475</v>
      </c>
      <c r="B476" t="s">
        <v>3326</v>
      </c>
      <c r="C476" t="s">
        <v>1670</v>
      </c>
    </row>
    <row r="477" spans="1:3" x14ac:dyDescent="0.25">
      <c r="A477">
        <v>476</v>
      </c>
      <c r="B477" t="s">
        <v>3327</v>
      </c>
      <c r="C477" t="s">
        <v>1671</v>
      </c>
    </row>
    <row r="478" spans="1:3" x14ac:dyDescent="0.25">
      <c r="A478">
        <v>477</v>
      </c>
      <c r="B478" t="s">
        <v>143</v>
      </c>
      <c r="C478" t="s">
        <v>1672</v>
      </c>
    </row>
    <row r="479" spans="1:3" x14ac:dyDescent="0.25">
      <c r="A479">
        <v>478</v>
      </c>
      <c r="B479" t="s">
        <v>143</v>
      </c>
      <c r="C479" t="s">
        <v>1673</v>
      </c>
    </row>
    <row r="480" spans="1:3" x14ac:dyDescent="0.25">
      <c r="A480">
        <v>479</v>
      </c>
      <c r="B480" t="s">
        <v>143</v>
      </c>
      <c r="C480" t="s">
        <v>1674</v>
      </c>
    </row>
    <row r="481" spans="1:3" x14ac:dyDescent="0.25">
      <c r="A481">
        <v>480</v>
      </c>
      <c r="B481" t="s">
        <v>143</v>
      </c>
      <c r="C481" t="s">
        <v>1675</v>
      </c>
    </row>
    <row r="482" spans="1:3" x14ac:dyDescent="0.25">
      <c r="A482">
        <v>481</v>
      </c>
      <c r="B482" t="s">
        <v>143</v>
      </c>
      <c r="C482" t="s">
        <v>1676</v>
      </c>
    </row>
    <row r="483" spans="1:3" x14ac:dyDescent="0.25">
      <c r="A483">
        <v>482</v>
      </c>
      <c r="B483" t="s">
        <v>143</v>
      </c>
      <c r="C483" t="s">
        <v>1677</v>
      </c>
    </row>
    <row r="484" spans="1:3" x14ac:dyDescent="0.25">
      <c r="A484">
        <v>483</v>
      </c>
      <c r="B484" t="s">
        <v>143</v>
      </c>
      <c r="C484" t="s">
        <v>1678</v>
      </c>
    </row>
    <row r="485" spans="1:3" x14ac:dyDescent="0.25">
      <c r="A485">
        <v>484</v>
      </c>
      <c r="B485" t="s">
        <v>143</v>
      </c>
      <c r="C485" t="s">
        <v>1679</v>
      </c>
    </row>
    <row r="486" spans="1:3" x14ac:dyDescent="0.25">
      <c r="A486">
        <v>485</v>
      </c>
      <c r="B486" t="s">
        <v>143</v>
      </c>
      <c r="C486" t="s">
        <v>1680</v>
      </c>
    </row>
    <row r="487" spans="1:3" x14ac:dyDescent="0.25">
      <c r="A487">
        <v>486</v>
      </c>
      <c r="B487" t="s">
        <v>143</v>
      </c>
      <c r="C487" t="s">
        <v>1681</v>
      </c>
    </row>
    <row r="488" spans="1:3" x14ac:dyDescent="0.25">
      <c r="A488">
        <v>487</v>
      </c>
      <c r="B488" t="s">
        <v>143</v>
      </c>
      <c r="C488" t="s">
        <v>1682</v>
      </c>
    </row>
    <row r="489" spans="1:3" x14ac:dyDescent="0.25">
      <c r="A489">
        <v>488</v>
      </c>
      <c r="B489" t="s">
        <v>143</v>
      </c>
      <c r="C489" t="s">
        <v>1683</v>
      </c>
    </row>
    <row r="490" spans="1:3" x14ac:dyDescent="0.25">
      <c r="A490">
        <v>489</v>
      </c>
      <c r="B490" t="s">
        <v>143</v>
      </c>
      <c r="C490" t="s">
        <v>1684</v>
      </c>
    </row>
    <row r="491" spans="1:3" x14ac:dyDescent="0.25">
      <c r="A491">
        <v>490</v>
      </c>
      <c r="B491" t="s">
        <v>143</v>
      </c>
      <c r="C491" t="s">
        <v>1685</v>
      </c>
    </row>
    <row r="492" spans="1:3" x14ac:dyDescent="0.25">
      <c r="A492">
        <v>491</v>
      </c>
      <c r="B492" t="s">
        <v>143</v>
      </c>
      <c r="C492" t="s">
        <v>1686</v>
      </c>
    </row>
    <row r="493" spans="1:3" x14ac:dyDescent="0.25">
      <c r="A493">
        <v>492</v>
      </c>
      <c r="B493" t="s">
        <v>143</v>
      </c>
      <c r="C493" t="s">
        <v>1687</v>
      </c>
    </row>
    <row r="494" spans="1:3" x14ac:dyDescent="0.25">
      <c r="A494">
        <v>493</v>
      </c>
      <c r="B494" t="s">
        <v>143</v>
      </c>
      <c r="C494" t="s">
        <v>1688</v>
      </c>
    </row>
    <row r="495" spans="1:3" x14ac:dyDescent="0.25">
      <c r="A495">
        <v>494</v>
      </c>
      <c r="B495" t="s">
        <v>143</v>
      </c>
      <c r="C495" t="s">
        <v>1689</v>
      </c>
    </row>
    <row r="496" spans="1:3" x14ac:dyDescent="0.25">
      <c r="A496">
        <v>495</v>
      </c>
      <c r="B496" t="s">
        <v>143</v>
      </c>
      <c r="C496" t="s">
        <v>1690</v>
      </c>
    </row>
    <row r="497" spans="1:3" x14ac:dyDescent="0.25">
      <c r="A497">
        <v>496</v>
      </c>
      <c r="B497" t="s">
        <v>143</v>
      </c>
      <c r="C497" t="s">
        <v>1691</v>
      </c>
    </row>
    <row r="498" spans="1:3" x14ac:dyDescent="0.25">
      <c r="A498">
        <v>497</v>
      </c>
      <c r="B498" t="s">
        <v>143</v>
      </c>
      <c r="C498" t="s">
        <v>1692</v>
      </c>
    </row>
    <row r="499" spans="1:3" x14ac:dyDescent="0.25">
      <c r="A499">
        <v>498</v>
      </c>
      <c r="B499" t="s">
        <v>143</v>
      </c>
      <c r="C499" t="s">
        <v>1693</v>
      </c>
    </row>
    <row r="500" spans="1:3" x14ac:dyDescent="0.25">
      <c r="A500">
        <v>499</v>
      </c>
      <c r="B500" t="s">
        <v>143</v>
      </c>
      <c r="C500" t="s">
        <v>1694</v>
      </c>
    </row>
    <row r="501" spans="1:3" x14ac:dyDescent="0.25">
      <c r="A501">
        <v>500</v>
      </c>
      <c r="B501" t="s">
        <v>143</v>
      </c>
      <c r="C501" t="s">
        <v>1695</v>
      </c>
    </row>
    <row r="502" spans="1:3" x14ac:dyDescent="0.25">
      <c r="A502">
        <v>501</v>
      </c>
      <c r="B502" t="s">
        <v>143</v>
      </c>
      <c r="C502" t="s">
        <v>1696</v>
      </c>
    </row>
    <row r="503" spans="1:3" x14ac:dyDescent="0.25">
      <c r="A503">
        <v>502</v>
      </c>
      <c r="B503" t="s">
        <v>143</v>
      </c>
      <c r="C503" t="s">
        <v>1697</v>
      </c>
    </row>
    <row r="504" spans="1:3" x14ac:dyDescent="0.25">
      <c r="A504">
        <v>503</v>
      </c>
      <c r="B504" t="s">
        <v>143</v>
      </c>
      <c r="C504" t="s">
        <v>1698</v>
      </c>
    </row>
    <row r="505" spans="1:3" x14ac:dyDescent="0.25">
      <c r="A505">
        <v>504</v>
      </c>
      <c r="B505" t="s">
        <v>143</v>
      </c>
      <c r="C505" t="s">
        <v>1699</v>
      </c>
    </row>
    <row r="506" spans="1:3" x14ac:dyDescent="0.25">
      <c r="A506">
        <v>505</v>
      </c>
      <c r="B506" t="s">
        <v>143</v>
      </c>
      <c r="C506" t="s">
        <v>1700</v>
      </c>
    </row>
    <row r="507" spans="1:3" x14ac:dyDescent="0.25">
      <c r="A507">
        <v>506</v>
      </c>
      <c r="B507" t="s">
        <v>143</v>
      </c>
      <c r="C507" t="s">
        <v>1701</v>
      </c>
    </row>
    <row r="508" spans="1:3" x14ac:dyDescent="0.25">
      <c r="A508">
        <v>507</v>
      </c>
      <c r="B508" t="s">
        <v>143</v>
      </c>
      <c r="C508" t="s">
        <v>1702</v>
      </c>
    </row>
    <row r="509" spans="1:3" x14ac:dyDescent="0.25">
      <c r="A509">
        <v>508</v>
      </c>
      <c r="B509" t="s">
        <v>143</v>
      </c>
      <c r="C509" t="s">
        <v>1703</v>
      </c>
    </row>
    <row r="510" spans="1:3" x14ac:dyDescent="0.25">
      <c r="A510">
        <v>509</v>
      </c>
      <c r="B510" t="s">
        <v>143</v>
      </c>
      <c r="C510" t="s">
        <v>1704</v>
      </c>
    </row>
    <row r="511" spans="1:3" x14ac:dyDescent="0.25">
      <c r="A511">
        <v>510</v>
      </c>
      <c r="B511" t="s">
        <v>143</v>
      </c>
      <c r="C511" t="s">
        <v>1705</v>
      </c>
    </row>
    <row r="512" spans="1:3" x14ac:dyDescent="0.25">
      <c r="A512">
        <v>511</v>
      </c>
      <c r="B512" t="s">
        <v>143</v>
      </c>
      <c r="C512" t="s">
        <v>1706</v>
      </c>
    </row>
    <row r="513" spans="1:3" x14ac:dyDescent="0.25">
      <c r="A513">
        <v>512</v>
      </c>
      <c r="B513" t="s">
        <v>143</v>
      </c>
      <c r="C513" t="s">
        <v>1707</v>
      </c>
    </row>
    <row r="514" spans="1:3" x14ac:dyDescent="0.25">
      <c r="A514">
        <v>513</v>
      </c>
      <c r="B514" t="s">
        <v>143</v>
      </c>
      <c r="C514" t="s">
        <v>1708</v>
      </c>
    </row>
    <row r="515" spans="1:3" x14ac:dyDescent="0.25">
      <c r="A515">
        <v>514</v>
      </c>
      <c r="B515" t="s">
        <v>143</v>
      </c>
      <c r="C515" t="s">
        <v>1709</v>
      </c>
    </row>
    <row r="516" spans="1:3" x14ac:dyDescent="0.25">
      <c r="A516">
        <v>515</v>
      </c>
      <c r="B516" t="s">
        <v>143</v>
      </c>
      <c r="C516" t="s">
        <v>1710</v>
      </c>
    </row>
    <row r="517" spans="1:3" x14ac:dyDescent="0.25">
      <c r="A517">
        <v>516</v>
      </c>
      <c r="B517" t="s">
        <v>143</v>
      </c>
      <c r="C517" t="s">
        <v>1711</v>
      </c>
    </row>
    <row r="518" spans="1:3" x14ac:dyDescent="0.25">
      <c r="A518">
        <v>517</v>
      </c>
      <c r="B518" t="s">
        <v>143</v>
      </c>
      <c r="C518" t="s">
        <v>1712</v>
      </c>
    </row>
    <row r="519" spans="1:3" x14ac:dyDescent="0.25">
      <c r="A519">
        <v>518</v>
      </c>
      <c r="B519" t="s">
        <v>143</v>
      </c>
      <c r="C519" t="s">
        <v>1713</v>
      </c>
    </row>
    <row r="520" spans="1:3" x14ac:dyDescent="0.25">
      <c r="A520">
        <v>519</v>
      </c>
      <c r="B520" t="s">
        <v>143</v>
      </c>
      <c r="C520" t="s">
        <v>1714</v>
      </c>
    </row>
    <row r="521" spans="1:3" x14ac:dyDescent="0.25">
      <c r="A521">
        <v>520</v>
      </c>
      <c r="B521" t="s">
        <v>143</v>
      </c>
      <c r="C521" t="s">
        <v>1715</v>
      </c>
    </row>
    <row r="522" spans="1:3" x14ac:dyDescent="0.25">
      <c r="A522">
        <v>521</v>
      </c>
      <c r="B522" t="s">
        <v>143</v>
      </c>
      <c r="C522" t="s">
        <v>1716</v>
      </c>
    </row>
    <row r="523" spans="1:3" x14ac:dyDescent="0.25">
      <c r="A523">
        <v>522</v>
      </c>
      <c r="B523" t="s">
        <v>143</v>
      </c>
      <c r="C523" t="s">
        <v>1717</v>
      </c>
    </row>
    <row r="524" spans="1:3" x14ac:dyDescent="0.25">
      <c r="A524">
        <v>523</v>
      </c>
      <c r="B524" t="s">
        <v>143</v>
      </c>
      <c r="C524" t="s">
        <v>1718</v>
      </c>
    </row>
    <row r="525" spans="1:3" x14ac:dyDescent="0.25">
      <c r="A525">
        <v>524</v>
      </c>
      <c r="B525" t="s">
        <v>143</v>
      </c>
      <c r="C525" t="s">
        <v>1719</v>
      </c>
    </row>
    <row r="526" spans="1:3" x14ac:dyDescent="0.25">
      <c r="A526">
        <v>525</v>
      </c>
      <c r="B526" t="s">
        <v>143</v>
      </c>
      <c r="C526" t="s">
        <v>1720</v>
      </c>
    </row>
    <row r="527" spans="1:3" x14ac:dyDescent="0.25">
      <c r="A527">
        <v>526</v>
      </c>
      <c r="B527" t="s">
        <v>143</v>
      </c>
      <c r="C527" t="s">
        <v>1721</v>
      </c>
    </row>
    <row r="528" spans="1:3" x14ac:dyDescent="0.25">
      <c r="A528">
        <v>527</v>
      </c>
      <c r="B528" t="s">
        <v>143</v>
      </c>
      <c r="C528" t="s">
        <v>1722</v>
      </c>
    </row>
    <row r="529" spans="1:3" x14ac:dyDescent="0.25">
      <c r="A529">
        <v>528</v>
      </c>
      <c r="B529" t="s">
        <v>143</v>
      </c>
      <c r="C529" t="s">
        <v>1723</v>
      </c>
    </row>
    <row r="530" spans="1:3" x14ac:dyDescent="0.25">
      <c r="A530">
        <v>529</v>
      </c>
      <c r="B530" t="s">
        <v>143</v>
      </c>
      <c r="C530" t="s">
        <v>1724</v>
      </c>
    </row>
    <row r="531" spans="1:3" x14ac:dyDescent="0.25">
      <c r="A531">
        <v>530</v>
      </c>
      <c r="B531" t="s">
        <v>143</v>
      </c>
      <c r="C531" t="s">
        <v>1725</v>
      </c>
    </row>
    <row r="532" spans="1:3" x14ac:dyDescent="0.25">
      <c r="A532">
        <v>531</v>
      </c>
      <c r="B532" t="s">
        <v>143</v>
      </c>
      <c r="C532" t="s">
        <v>1726</v>
      </c>
    </row>
    <row r="533" spans="1:3" x14ac:dyDescent="0.25">
      <c r="A533">
        <v>532</v>
      </c>
      <c r="B533" t="s">
        <v>143</v>
      </c>
      <c r="C533" t="s">
        <v>1727</v>
      </c>
    </row>
    <row r="534" spans="1:3" x14ac:dyDescent="0.25">
      <c r="A534">
        <v>533</v>
      </c>
      <c r="B534" t="s">
        <v>143</v>
      </c>
      <c r="C534" t="s">
        <v>1728</v>
      </c>
    </row>
    <row r="535" spans="1:3" x14ac:dyDescent="0.25">
      <c r="A535">
        <v>534</v>
      </c>
      <c r="B535" t="s">
        <v>143</v>
      </c>
      <c r="C535" t="s">
        <v>1729</v>
      </c>
    </row>
    <row r="536" spans="1:3" x14ac:dyDescent="0.25">
      <c r="A536">
        <v>535</v>
      </c>
      <c r="B536" t="s">
        <v>143</v>
      </c>
      <c r="C536" t="s">
        <v>1730</v>
      </c>
    </row>
    <row r="537" spans="1:3" x14ac:dyDescent="0.25">
      <c r="A537">
        <v>536</v>
      </c>
      <c r="B537" t="s">
        <v>143</v>
      </c>
      <c r="C537" t="s">
        <v>1731</v>
      </c>
    </row>
    <row r="538" spans="1:3" x14ac:dyDescent="0.25">
      <c r="A538">
        <v>537</v>
      </c>
      <c r="B538" t="s">
        <v>143</v>
      </c>
      <c r="C538" t="s">
        <v>1732</v>
      </c>
    </row>
    <row r="539" spans="1:3" x14ac:dyDescent="0.25">
      <c r="A539">
        <v>538</v>
      </c>
      <c r="B539" t="s">
        <v>143</v>
      </c>
      <c r="C539" t="s">
        <v>1733</v>
      </c>
    </row>
    <row r="540" spans="1:3" x14ac:dyDescent="0.25">
      <c r="A540">
        <v>539</v>
      </c>
      <c r="B540" t="s">
        <v>143</v>
      </c>
      <c r="C540" t="s">
        <v>1734</v>
      </c>
    </row>
    <row r="541" spans="1:3" x14ac:dyDescent="0.25">
      <c r="A541">
        <v>540</v>
      </c>
      <c r="B541" t="s">
        <v>143</v>
      </c>
      <c r="C541" t="s">
        <v>1735</v>
      </c>
    </row>
    <row r="542" spans="1:3" x14ac:dyDescent="0.25">
      <c r="A542">
        <v>541</v>
      </c>
      <c r="B542" t="s">
        <v>143</v>
      </c>
      <c r="C542" t="s">
        <v>1736</v>
      </c>
    </row>
    <row r="543" spans="1:3" x14ac:dyDescent="0.25">
      <c r="A543">
        <v>542</v>
      </c>
      <c r="B543" t="s">
        <v>143</v>
      </c>
      <c r="C543" t="s">
        <v>1737</v>
      </c>
    </row>
    <row r="544" spans="1:3" x14ac:dyDescent="0.25">
      <c r="A544">
        <v>543</v>
      </c>
      <c r="B544" t="s">
        <v>143</v>
      </c>
      <c r="C544" t="s">
        <v>1738</v>
      </c>
    </row>
    <row r="545" spans="1:3" x14ac:dyDescent="0.25">
      <c r="A545">
        <v>544</v>
      </c>
      <c r="B545" t="s">
        <v>143</v>
      </c>
      <c r="C545" t="s">
        <v>1739</v>
      </c>
    </row>
    <row r="546" spans="1:3" x14ac:dyDescent="0.25">
      <c r="A546">
        <v>545</v>
      </c>
      <c r="B546" t="s">
        <v>143</v>
      </c>
      <c r="C546" t="s">
        <v>1740</v>
      </c>
    </row>
    <row r="547" spans="1:3" x14ac:dyDescent="0.25">
      <c r="A547">
        <v>546</v>
      </c>
      <c r="B547" t="s">
        <v>143</v>
      </c>
      <c r="C547" t="s">
        <v>1741</v>
      </c>
    </row>
    <row r="548" spans="1:3" x14ac:dyDescent="0.25">
      <c r="A548">
        <v>547</v>
      </c>
      <c r="B548" t="s">
        <v>143</v>
      </c>
      <c r="C548" t="s">
        <v>1742</v>
      </c>
    </row>
    <row r="549" spans="1:3" x14ac:dyDescent="0.25">
      <c r="A549">
        <v>548</v>
      </c>
      <c r="B549" t="s">
        <v>143</v>
      </c>
      <c r="C549" t="s">
        <v>1743</v>
      </c>
    </row>
    <row r="550" spans="1:3" x14ac:dyDescent="0.25">
      <c r="A550">
        <v>549</v>
      </c>
      <c r="B550" t="s">
        <v>143</v>
      </c>
      <c r="C550" t="s">
        <v>1744</v>
      </c>
    </row>
    <row r="551" spans="1:3" x14ac:dyDescent="0.25">
      <c r="A551">
        <v>550</v>
      </c>
      <c r="B551" t="s">
        <v>143</v>
      </c>
      <c r="C551" t="s">
        <v>1745</v>
      </c>
    </row>
    <row r="552" spans="1:3" x14ac:dyDescent="0.25">
      <c r="A552">
        <v>551</v>
      </c>
      <c r="B552" t="s">
        <v>143</v>
      </c>
      <c r="C552" t="s">
        <v>1746</v>
      </c>
    </row>
    <row r="553" spans="1:3" x14ac:dyDescent="0.25">
      <c r="A553">
        <v>552</v>
      </c>
      <c r="B553" t="s">
        <v>143</v>
      </c>
      <c r="C553" t="s">
        <v>1747</v>
      </c>
    </row>
    <row r="554" spans="1:3" x14ac:dyDescent="0.25">
      <c r="A554">
        <v>553</v>
      </c>
      <c r="B554" t="s">
        <v>143</v>
      </c>
      <c r="C554" t="s">
        <v>1748</v>
      </c>
    </row>
    <row r="555" spans="1:3" x14ac:dyDescent="0.25">
      <c r="A555">
        <v>554</v>
      </c>
      <c r="B555" t="s">
        <v>143</v>
      </c>
      <c r="C555" t="s">
        <v>1749</v>
      </c>
    </row>
    <row r="556" spans="1:3" x14ac:dyDescent="0.25">
      <c r="A556">
        <v>555</v>
      </c>
      <c r="B556" t="s">
        <v>143</v>
      </c>
      <c r="C556" t="s">
        <v>1750</v>
      </c>
    </row>
    <row r="557" spans="1:3" x14ac:dyDescent="0.25">
      <c r="A557">
        <v>556</v>
      </c>
      <c r="B557" t="s">
        <v>143</v>
      </c>
      <c r="C557" t="s">
        <v>1751</v>
      </c>
    </row>
    <row r="558" spans="1:3" x14ac:dyDescent="0.25">
      <c r="A558">
        <v>557</v>
      </c>
      <c r="B558" t="s">
        <v>143</v>
      </c>
      <c r="C558" t="s">
        <v>1752</v>
      </c>
    </row>
    <row r="559" spans="1:3" x14ac:dyDescent="0.25">
      <c r="A559">
        <v>558</v>
      </c>
      <c r="B559" t="s">
        <v>143</v>
      </c>
      <c r="C559" t="s">
        <v>1753</v>
      </c>
    </row>
    <row r="560" spans="1:3" x14ac:dyDescent="0.25">
      <c r="A560">
        <v>559</v>
      </c>
      <c r="B560" t="s">
        <v>143</v>
      </c>
      <c r="C560" t="s">
        <v>1754</v>
      </c>
    </row>
    <row r="561" spans="1:3" x14ac:dyDescent="0.25">
      <c r="A561">
        <v>560</v>
      </c>
      <c r="B561" t="s">
        <v>143</v>
      </c>
      <c r="C561" t="s">
        <v>1755</v>
      </c>
    </row>
    <row r="562" spans="1:3" x14ac:dyDescent="0.25">
      <c r="A562">
        <v>561</v>
      </c>
      <c r="B562" t="s">
        <v>143</v>
      </c>
      <c r="C562" t="s">
        <v>1756</v>
      </c>
    </row>
    <row r="563" spans="1:3" x14ac:dyDescent="0.25">
      <c r="A563">
        <v>562</v>
      </c>
      <c r="B563" t="s">
        <v>143</v>
      </c>
      <c r="C563" t="s">
        <v>1757</v>
      </c>
    </row>
    <row r="564" spans="1:3" x14ac:dyDescent="0.25">
      <c r="A564">
        <v>563</v>
      </c>
      <c r="B564" t="s">
        <v>143</v>
      </c>
      <c r="C564" t="s">
        <v>1758</v>
      </c>
    </row>
    <row r="565" spans="1:3" x14ac:dyDescent="0.25">
      <c r="A565">
        <v>564</v>
      </c>
      <c r="B565" t="s">
        <v>143</v>
      </c>
      <c r="C565" t="s">
        <v>1759</v>
      </c>
    </row>
    <row r="566" spans="1:3" x14ac:dyDescent="0.25">
      <c r="A566">
        <v>565</v>
      </c>
      <c r="B566" t="s">
        <v>143</v>
      </c>
      <c r="C566" t="s">
        <v>1760</v>
      </c>
    </row>
    <row r="567" spans="1:3" x14ac:dyDescent="0.25">
      <c r="A567">
        <v>566</v>
      </c>
      <c r="B567" t="s">
        <v>143</v>
      </c>
      <c r="C567" t="s">
        <v>1761</v>
      </c>
    </row>
    <row r="568" spans="1:3" x14ac:dyDescent="0.25">
      <c r="A568">
        <v>567</v>
      </c>
      <c r="B568" t="s">
        <v>143</v>
      </c>
      <c r="C568" t="s">
        <v>1762</v>
      </c>
    </row>
    <row r="569" spans="1:3" x14ac:dyDescent="0.25">
      <c r="A569">
        <v>568</v>
      </c>
      <c r="B569" t="s">
        <v>143</v>
      </c>
      <c r="C569" t="s">
        <v>1763</v>
      </c>
    </row>
    <row r="570" spans="1:3" x14ac:dyDescent="0.25">
      <c r="A570">
        <v>569</v>
      </c>
      <c r="B570" t="s">
        <v>143</v>
      </c>
      <c r="C570" t="s">
        <v>1764</v>
      </c>
    </row>
    <row r="571" spans="1:3" x14ac:dyDescent="0.25">
      <c r="A571">
        <v>570</v>
      </c>
      <c r="B571" t="s">
        <v>143</v>
      </c>
      <c r="C571" t="s">
        <v>1765</v>
      </c>
    </row>
    <row r="572" spans="1:3" x14ac:dyDescent="0.25">
      <c r="A572">
        <v>571</v>
      </c>
      <c r="B572" t="s">
        <v>143</v>
      </c>
      <c r="C572" t="s">
        <v>1766</v>
      </c>
    </row>
    <row r="573" spans="1:3" x14ac:dyDescent="0.25">
      <c r="A573">
        <v>572</v>
      </c>
      <c r="B573" t="s">
        <v>143</v>
      </c>
      <c r="C573" t="s">
        <v>1767</v>
      </c>
    </row>
    <row r="574" spans="1:3" x14ac:dyDescent="0.25">
      <c r="A574">
        <v>573</v>
      </c>
      <c r="B574" t="s">
        <v>3334</v>
      </c>
      <c r="C574" t="s">
        <v>1768</v>
      </c>
    </row>
    <row r="575" spans="1:3" x14ac:dyDescent="0.25">
      <c r="A575">
        <v>574</v>
      </c>
      <c r="B575" t="s">
        <v>143</v>
      </c>
      <c r="C575" t="s">
        <v>1769</v>
      </c>
    </row>
    <row r="576" spans="1:3" x14ac:dyDescent="0.25">
      <c r="A576">
        <v>575</v>
      </c>
      <c r="B576" t="s">
        <v>143</v>
      </c>
      <c r="C576" t="s">
        <v>1770</v>
      </c>
    </row>
    <row r="577" spans="1:3" x14ac:dyDescent="0.25">
      <c r="A577">
        <v>576</v>
      </c>
      <c r="B577" t="s">
        <v>143</v>
      </c>
      <c r="C577" t="s">
        <v>1771</v>
      </c>
    </row>
    <row r="578" spans="1:3" x14ac:dyDescent="0.25">
      <c r="A578">
        <v>577</v>
      </c>
      <c r="B578" t="s">
        <v>143</v>
      </c>
      <c r="C578" t="s">
        <v>1772</v>
      </c>
    </row>
    <row r="579" spans="1:3" x14ac:dyDescent="0.25">
      <c r="A579">
        <v>578</v>
      </c>
      <c r="B579" t="s">
        <v>143</v>
      </c>
      <c r="C579" t="s">
        <v>1773</v>
      </c>
    </row>
    <row r="580" spans="1:3" x14ac:dyDescent="0.25">
      <c r="A580">
        <v>579</v>
      </c>
      <c r="B580" t="s">
        <v>143</v>
      </c>
      <c r="C580" t="s">
        <v>1774</v>
      </c>
    </row>
    <row r="581" spans="1:3" x14ac:dyDescent="0.25">
      <c r="A581">
        <v>580</v>
      </c>
      <c r="B581" t="s">
        <v>143</v>
      </c>
      <c r="C581" t="s">
        <v>1775</v>
      </c>
    </row>
    <row r="582" spans="1:3" x14ac:dyDescent="0.25">
      <c r="A582">
        <v>581</v>
      </c>
      <c r="B582" t="s">
        <v>143</v>
      </c>
      <c r="C582" t="s">
        <v>1776</v>
      </c>
    </row>
    <row r="583" spans="1:3" x14ac:dyDescent="0.25">
      <c r="A583">
        <v>582</v>
      </c>
      <c r="B583" t="s">
        <v>143</v>
      </c>
      <c r="C583" t="s">
        <v>1777</v>
      </c>
    </row>
    <row r="584" spans="1:3" x14ac:dyDescent="0.25">
      <c r="A584">
        <v>583</v>
      </c>
      <c r="B584" t="s">
        <v>143</v>
      </c>
      <c r="C584" t="s">
        <v>1778</v>
      </c>
    </row>
    <row r="585" spans="1:3" x14ac:dyDescent="0.25">
      <c r="A585">
        <v>584</v>
      </c>
      <c r="B585" t="s">
        <v>143</v>
      </c>
      <c r="C585" t="s">
        <v>1779</v>
      </c>
    </row>
    <row r="586" spans="1:3" x14ac:dyDescent="0.25">
      <c r="A586">
        <v>585</v>
      </c>
      <c r="B586" t="s">
        <v>143</v>
      </c>
      <c r="C586" t="s">
        <v>1780</v>
      </c>
    </row>
    <row r="587" spans="1:3" x14ac:dyDescent="0.25">
      <c r="A587">
        <v>586</v>
      </c>
      <c r="B587" t="s">
        <v>143</v>
      </c>
      <c r="C587" t="s">
        <v>1781</v>
      </c>
    </row>
    <row r="588" spans="1:3" x14ac:dyDescent="0.25">
      <c r="A588">
        <v>587</v>
      </c>
      <c r="B588" t="s">
        <v>143</v>
      </c>
      <c r="C588" t="s">
        <v>1782</v>
      </c>
    </row>
    <row r="589" spans="1:3" x14ac:dyDescent="0.25">
      <c r="A589">
        <v>588</v>
      </c>
      <c r="B589" t="s">
        <v>143</v>
      </c>
      <c r="C589" t="s">
        <v>1783</v>
      </c>
    </row>
    <row r="590" spans="1:3" x14ac:dyDescent="0.25">
      <c r="A590">
        <v>589</v>
      </c>
      <c r="B590" t="s">
        <v>143</v>
      </c>
      <c r="C590" t="s">
        <v>1784</v>
      </c>
    </row>
    <row r="591" spans="1:3" x14ac:dyDescent="0.25">
      <c r="A591">
        <v>590</v>
      </c>
      <c r="B591" t="s">
        <v>143</v>
      </c>
      <c r="C591" t="s">
        <v>1785</v>
      </c>
    </row>
    <row r="592" spans="1:3" x14ac:dyDescent="0.25">
      <c r="A592">
        <v>591</v>
      </c>
      <c r="B592" t="s">
        <v>143</v>
      </c>
      <c r="C592" t="s">
        <v>1786</v>
      </c>
    </row>
    <row r="593" spans="1:3" x14ac:dyDescent="0.25">
      <c r="A593">
        <v>592</v>
      </c>
      <c r="B593" t="s">
        <v>143</v>
      </c>
      <c r="C593" t="s">
        <v>1787</v>
      </c>
    </row>
    <row r="594" spans="1:3" x14ac:dyDescent="0.25">
      <c r="A594">
        <v>593</v>
      </c>
      <c r="B594" t="s">
        <v>143</v>
      </c>
      <c r="C594" t="s">
        <v>1788</v>
      </c>
    </row>
    <row r="595" spans="1:3" x14ac:dyDescent="0.25">
      <c r="A595">
        <v>594</v>
      </c>
      <c r="B595" t="s">
        <v>143</v>
      </c>
      <c r="C595" t="s">
        <v>1789</v>
      </c>
    </row>
    <row r="596" spans="1:3" x14ac:dyDescent="0.25">
      <c r="A596">
        <v>595</v>
      </c>
      <c r="B596" t="s">
        <v>143</v>
      </c>
      <c r="C596" t="s">
        <v>1790</v>
      </c>
    </row>
    <row r="597" spans="1:3" x14ac:dyDescent="0.25">
      <c r="A597">
        <v>596</v>
      </c>
      <c r="B597" t="s">
        <v>143</v>
      </c>
      <c r="C597" t="s">
        <v>1791</v>
      </c>
    </row>
    <row r="598" spans="1:3" x14ac:dyDescent="0.25">
      <c r="A598">
        <v>597</v>
      </c>
      <c r="B598" t="s">
        <v>143</v>
      </c>
      <c r="C598" t="s">
        <v>1792</v>
      </c>
    </row>
    <row r="599" spans="1:3" x14ac:dyDescent="0.25">
      <c r="A599">
        <v>598</v>
      </c>
      <c r="B599" t="s">
        <v>143</v>
      </c>
      <c r="C599" t="s">
        <v>1793</v>
      </c>
    </row>
    <row r="600" spans="1:3" x14ac:dyDescent="0.25">
      <c r="A600">
        <v>599</v>
      </c>
      <c r="B600" t="s">
        <v>143</v>
      </c>
      <c r="C600" t="s">
        <v>1794</v>
      </c>
    </row>
    <row r="601" spans="1:3" x14ac:dyDescent="0.25">
      <c r="A601">
        <v>600</v>
      </c>
      <c r="B601" t="s">
        <v>143</v>
      </c>
      <c r="C601" t="s">
        <v>1795</v>
      </c>
    </row>
    <row r="602" spans="1:3" x14ac:dyDescent="0.25">
      <c r="A602">
        <v>601</v>
      </c>
      <c r="B602" t="s">
        <v>143</v>
      </c>
      <c r="C602" t="s">
        <v>1796</v>
      </c>
    </row>
    <row r="603" spans="1:3" x14ac:dyDescent="0.25">
      <c r="A603">
        <v>602</v>
      </c>
      <c r="B603" t="s">
        <v>143</v>
      </c>
      <c r="C603" t="s">
        <v>1797</v>
      </c>
    </row>
    <row r="604" spans="1:3" x14ac:dyDescent="0.25">
      <c r="A604">
        <v>603</v>
      </c>
      <c r="B604" t="s">
        <v>143</v>
      </c>
      <c r="C604" t="s">
        <v>1798</v>
      </c>
    </row>
    <row r="605" spans="1:3" x14ac:dyDescent="0.25">
      <c r="A605">
        <v>604</v>
      </c>
      <c r="B605" t="s">
        <v>143</v>
      </c>
      <c r="C605" t="s">
        <v>1799</v>
      </c>
    </row>
    <row r="606" spans="1:3" x14ac:dyDescent="0.25">
      <c r="A606">
        <v>605</v>
      </c>
      <c r="B606" t="s">
        <v>143</v>
      </c>
      <c r="C606" t="s">
        <v>1800</v>
      </c>
    </row>
    <row r="607" spans="1:3" x14ac:dyDescent="0.25">
      <c r="A607">
        <v>606</v>
      </c>
      <c r="B607" t="s">
        <v>143</v>
      </c>
      <c r="C607" t="s">
        <v>1801</v>
      </c>
    </row>
    <row r="608" spans="1:3" x14ac:dyDescent="0.25">
      <c r="A608">
        <v>607</v>
      </c>
      <c r="B608" t="s">
        <v>143</v>
      </c>
      <c r="C608" t="s">
        <v>1802</v>
      </c>
    </row>
    <row r="609" spans="1:3" x14ac:dyDescent="0.25">
      <c r="A609">
        <v>608</v>
      </c>
      <c r="B609" t="s">
        <v>143</v>
      </c>
      <c r="C609" t="s">
        <v>1803</v>
      </c>
    </row>
    <row r="610" spans="1:3" x14ac:dyDescent="0.25">
      <c r="A610">
        <v>609</v>
      </c>
      <c r="B610" t="s">
        <v>143</v>
      </c>
      <c r="C610" t="s">
        <v>1804</v>
      </c>
    </row>
    <row r="611" spans="1:3" x14ac:dyDescent="0.25">
      <c r="A611">
        <v>610</v>
      </c>
      <c r="B611" t="s">
        <v>143</v>
      </c>
      <c r="C611" t="s">
        <v>1805</v>
      </c>
    </row>
    <row r="612" spans="1:3" x14ac:dyDescent="0.25">
      <c r="A612">
        <v>611</v>
      </c>
      <c r="B612" t="s">
        <v>143</v>
      </c>
      <c r="C612" t="s">
        <v>1806</v>
      </c>
    </row>
    <row r="613" spans="1:3" x14ac:dyDescent="0.25">
      <c r="A613">
        <v>612</v>
      </c>
      <c r="B613" t="s">
        <v>143</v>
      </c>
      <c r="C613" t="s">
        <v>1807</v>
      </c>
    </row>
    <row r="614" spans="1:3" x14ac:dyDescent="0.25">
      <c r="A614">
        <v>613</v>
      </c>
      <c r="B614" t="s">
        <v>143</v>
      </c>
      <c r="C614" t="s">
        <v>1808</v>
      </c>
    </row>
    <row r="615" spans="1:3" x14ac:dyDescent="0.25">
      <c r="A615">
        <v>614</v>
      </c>
      <c r="B615" t="s">
        <v>143</v>
      </c>
      <c r="C615" t="s">
        <v>1809</v>
      </c>
    </row>
    <row r="616" spans="1:3" x14ac:dyDescent="0.25">
      <c r="A616">
        <v>615</v>
      </c>
      <c r="B616" t="s">
        <v>143</v>
      </c>
      <c r="C616" t="s">
        <v>1810</v>
      </c>
    </row>
    <row r="617" spans="1:3" x14ac:dyDescent="0.25">
      <c r="A617">
        <v>616</v>
      </c>
      <c r="B617" t="s">
        <v>143</v>
      </c>
      <c r="C617" t="s">
        <v>1811</v>
      </c>
    </row>
    <row r="618" spans="1:3" x14ac:dyDescent="0.25">
      <c r="A618">
        <v>617</v>
      </c>
      <c r="B618" t="s">
        <v>143</v>
      </c>
      <c r="C618" t="s">
        <v>1812</v>
      </c>
    </row>
    <row r="619" spans="1:3" x14ac:dyDescent="0.25">
      <c r="A619">
        <v>618</v>
      </c>
      <c r="B619" t="s">
        <v>143</v>
      </c>
      <c r="C619" t="s">
        <v>1813</v>
      </c>
    </row>
    <row r="620" spans="1:3" x14ac:dyDescent="0.25">
      <c r="A620">
        <v>619</v>
      </c>
      <c r="B620" t="s">
        <v>143</v>
      </c>
      <c r="C620" t="s">
        <v>1814</v>
      </c>
    </row>
    <row r="621" spans="1:3" x14ac:dyDescent="0.25">
      <c r="A621">
        <v>620</v>
      </c>
      <c r="B621" t="s">
        <v>143</v>
      </c>
      <c r="C621" t="s">
        <v>1815</v>
      </c>
    </row>
    <row r="622" spans="1:3" x14ac:dyDescent="0.25">
      <c r="A622">
        <v>621</v>
      </c>
      <c r="B622" t="s">
        <v>143</v>
      </c>
      <c r="C622" t="s">
        <v>1816</v>
      </c>
    </row>
    <row r="623" spans="1:3" x14ac:dyDescent="0.25">
      <c r="A623">
        <v>622</v>
      </c>
      <c r="B623" t="s">
        <v>143</v>
      </c>
      <c r="C623" t="s">
        <v>1817</v>
      </c>
    </row>
    <row r="624" spans="1:3" x14ac:dyDescent="0.25">
      <c r="A624">
        <v>623</v>
      </c>
      <c r="B624" t="s">
        <v>143</v>
      </c>
      <c r="C624" t="s">
        <v>1818</v>
      </c>
    </row>
    <row r="625" spans="1:3" x14ac:dyDescent="0.25">
      <c r="A625">
        <v>624</v>
      </c>
      <c r="B625" t="s">
        <v>143</v>
      </c>
      <c r="C625" t="s">
        <v>1819</v>
      </c>
    </row>
    <row r="626" spans="1:3" x14ac:dyDescent="0.25">
      <c r="A626">
        <v>625</v>
      </c>
      <c r="B626" t="s">
        <v>143</v>
      </c>
      <c r="C626" t="s">
        <v>1820</v>
      </c>
    </row>
    <row r="627" spans="1:3" x14ac:dyDescent="0.25">
      <c r="A627">
        <v>626</v>
      </c>
      <c r="B627" t="s">
        <v>143</v>
      </c>
      <c r="C627" t="s">
        <v>1821</v>
      </c>
    </row>
    <row r="628" spans="1:3" x14ac:dyDescent="0.25">
      <c r="A628">
        <v>627</v>
      </c>
      <c r="B628" t="s">
        <v>143</v>
      </c>
      <c r="C628" t="s">
        <v>1822</v>
      </c>
    </row>
    <row r="629" spans="1:3" x14ac:dyDescent="0.25">
      <c r="A629">
        <v>628</v>
      </c>
      <c r="B629" t="s">
        <v>143</v>
      </c>
      <c r="C629" t="s">
        <v>1823</v>
      </c>
    </row>
    <row r="630" spans="1:3" x14ac:dyDescent="0.25">
      <c r="A630">
        <v>629</v>
      </c>
      <c r="B630" t="s">
        <v>143</v>
      </c>
      <c r="C630" t="s">
        <v>1824</v>
      </c>
    </row>
    <row r="631" spans="1:3" x14ac:dyDescent="0.25">
      <c r="A631">
        <v>630</v>
      </c>
      <c r="B631" t="s">
        <v>143</v>
      </c>
      <c r="C631" t="s">
        <v>1825</v>
      </c>
    </row>
    <row r="632" spans="1:3" x14ac:dyDescent="0.25">
      <c r="A632">
        <v>631</v>
      </c>
      <c r="B632" t="s">
        <v>143</v>
      </c>
      <c r="C632" t="s">
        <v>1826</v>
      </c>
    </row>
    <row r="633" spans="1:3" x14ac:dyDescent="0.25">
      <c r="A633">
        <v>632</v>
      </c>
      <c r="B633" t="s">
        <v>143</v>
      </c>
      <c r="C633" t="s">
        <v>1827</v>
      </c>
    </row>
    <row r="634" spans="1:3" x14ac:dyDescent="0.25">
      <c r="A634">
        <v>633</v>
      </c>
      <c r="B634" t="s">
        <v>143</v>
      </c>
      <c r="C634" t="s">
        <v>1828</v>
      </c>
    </row>
    <row r="635" spans="1:3" x14ac:dyDescent="0.25">
      <c r="A635">
        <v>634</v>
      </c>
      <c r="B635" t="s">
        <v>143</v>
      </c>
      <c r="C635" t="s">
        <v>1829</v>
      </c>
    </row>
    <row r="636" spans="1:3" x14ac:dyDescent="0.25">
      <c r="A636">
        <v>635</v>
      </c>
      <c r="B636" t="s">
        <v>143</v>
      </c>
      <c r="C636" t="s">
        <v>1830</v>
      </c>
    </row>
    <row r="637" spans="1:3" x14ac:dyDescent="0.25">
      <c r="A637">
        <v>636</v>
      </c>
      <c r="B637" t="s">
        <v>143</v>
      </c>
      <c r="C637" t="s">
        <v>1831</v>
      </c>
    </row>
    <row r="638" spans="1:3" x14ac:dyDescent="0.25">
      <c r="A638">
        <v>637</v>
      </c>
      <c r="B638" t="s">
        <v>143</v>
      </c>
      <c r="C638" t="s">
        <v>1832</v>
      </c>
    </row>
    <row r="639" spans="1:3" x14ac:dyDescent="0.25">
      <c r="A639">
        <v>638</v>
      </c>
      <c r="B639" t="s">
        <v>143</v>
      </c>
      <c r="C639" t="s">
        <v>1833</v>
      </c>
    </row>
    <row r="640" spans="1:3" x14ac:dyDescent="0.25">
      <c r="A640">
        <v>639</v>
      </c>
      <c r="B640" t="s">
        <v>143</v>
      </c>
      <c r="C640" t="s">
        <v>1834</v>
      </c>
    </row>
    <row r="641" spans="1:3" x14ac:dyDescent="0.25">
      <c r="A641">
        <v>640</v>
      </c>
      <c r="B641" t="s">
        <v>143</v>
      </c>
      <c r="C641" t="s">
        <v>1835</v>
      </c>
    </row>
    <row r="642" spans="1:3" x14ac:dyDescent="0.25">
      <c r="A642">
        <v>641</v>
      </c>
      <c r="B642" t="s">
        <v>143</v>
      </c>
      <c r="C642" t="s">
        <v>1836</v>
      </c>
    </row>
    <row r="643" spans="1:3" x14ac:dyDescent="0.25">
      <c r="A643">
        <v>642</v>
      </c>
      <c r="B643" t="s">
        <v>143</v>
      </c>
      <c r="C643" t="s">
        <v>1837</v>
      </c>
    </row>
    <row r="644" spans="1:3" x14ac:dyDescent="0.25">
      <c r="A644">
        <v>643</v>
      </c>
      <c r="B644" t="s">
        <v>143</v>
      </c>
      <c r="C644" t="s">
        <v>1838</v>
      </c>
    </row>
    <row r="645" spans="1:3" x14ac:dyDescent="0.25">
      <c r="A645">
        <v>644</v>
      </c>
      <c r="B645" t="s">
        <v>143</v>
      </c>
      <c r="C645" t="s">
        <v>1839</v>
      </c>
    </row>
    <row r="646" spans="1:3" x14ac:dyDescent="0.25">
      <c r="A646">
        <v>645</v>
      </c>
      <c r="B646" t="s">
        <v>143</v>
      </c>
      <c r="C646" t="s">
        <v>1840</v>
      </c>
    </row>
    <row r="647" spans="1:3" x14ac:dyDescent="0.25">
      <c r="A647">
        <v>646</v>
      </c>
      <c r="B647" t="s">
        <v>143</v>
      </c>
      <c r="C647" t="s">
        <v>1841</v>
      </c>
    </row>
    <row r="648" spans="1:3" x14ac:dyDescent="0.25">
      <c r="A648">
        <v>647</v>
      </c>
      <c r="B648" t="s">
        <v>143</v>
      </c>
      <c r="C648" t="s">
        <v>1842</v>
      </c>
    </row>
    <row r="649" spans="1:3" x14ac:dyDescent="0.25">
      <c r="A649">
        <v>648</v>
      </c>
      <c r="B649" t="s">
        <v>143</v>
      </c>
      <c r="C649" t="s">
        <v>1843</v>
      </c>
    </row>
    <row r="650" spans="1:3" x14ac:dyDescent="0.25">
      <c r="A650">
        <v>649</v>
      </c>
      <c r="B650" t="s">
        <v>143</v>
      </c>
      <c r="C650" t="s">
        <v>1844</v>
      </c>
    </row>
    <row r="651" spans="1:3" x14ac:dyDescent="0.25">
      <c r="A651">
        <v>650</v>
      </c>
      <c r="B651" t="s">
        <v>143</v>
      </c>
      <c r="C651" t="s">
        <v>1845</v>
      </c>
    </row>
    <row r="652" spans="1:3" x14ac:dyDescent="0.25">
      <c r="A652">
        <v>651</v>
      </c>
      <c r="B652" t="s">
        <v>143</v>
      </c>
      <c r="C652" t="s">
        <v>1846</v>
      </c>
    </row>
    <row r="653" spans="1:3" x14ac:dyDescent="0.25">
      <c r="A653">
        <v>652</v>
      </c>
      <c r="B653" t="s">
        <v>143</v>
      </c>
      <c r="C653" t="s">
        <v>1847</v>
      </c>
    </row>
    <row r="654" spans="1:3" x14ac:dyDescent="0.25">
      <c r="A654">
        <v>653</v>
      </c>
      <c r="B654" t="s">
        <v>143</v>
      </c>
      <c r="C654" t="s">
        <v>1848</v>
      </c>
    </row>
    <row r="655" spans="1:3" x14ac:dyDescent="0.25">
      <c r="A655">
        <v>654</v>
      </c>
      <c r="B655" t="s">
        <v>143</v>
      </c>
      <c r="C655" t="s">
        <v>1849</v>
      </c>
    </row>
    <row r="656" spans="1:3" x14ac:dyDescent="0.25">
      <c r="A656">
        <v>655</v>
      </c>
      <c r="B656" t="s">
        <v>143</v>
      </c>
      <c r="C656" t="s">
        <v>1850</v>
      </c>
    </row>
    <row r="657" spans="1:3" x14ac:dyDescent="0.25">
      <c r="A657">
        <v>656</v>
      </c>
      <c r="B657" t="s">
        <v>143</v>
      </c>
      <c r="C657" t="s">
        <v>1851</v>
      </c>
    </row>
    <row r="658" spans="1:3" x14ac:dyDescent="0.25">
      <c r="A658">
        <v>657</v>
      </c>
      <c r="B658" t="s">
        <v>143</v>
      </c>
      <c r="C658" t="s">
        <v>1852</v>
      </c>
    </row>
    <row r="659" spans="1:3" x14ac:dyDescent="0.25">
      <c r="A659">
        <v>658</v>
      </c>
      <c r="B659" t="s">
        <v>143</v>
      </c>
      <c r="C659" t="s">
        <v>1853</v>
      </c>
    </row>
    <row r="660" spans="1:3" x14ac:dyDescent="0.25">
      <c r="A660">
        <v>659</v>
      </c>
      <c r="B660" t="s">
        <v>143</v>
      </c>
      <c r="C660" t="s">
        <v>1854</v>
      </c>
    </row>
    <row r="661" spans="1:3" x14ac:dyDescent="0.25">
      <c r="A661">
        <v>660</v>
      </c>
      <c r="B661" t="s">
        <v>143</v>
      </c>
      <c r="C661" t="s">
        <v>1855</v>
      </c>
    </row>
    <row r="662" spans="1:3" x14ac:dyDescent="0.25">
      <c r="A662">
        <v>661</v>
      </c>
      <c r="B662" t="s">
        <v>143</v>
      </c>
      <c r="C662" t="s">
        <v>1856</v>
      </c>
    </row>
    <row r="663" spans="1:3" x14ac:dyDescent="0.25">
      <c r="A663">
        <v>662</v>
      </c>
      <c r="B663" t="s">
        <v>143</v>
      </c>
      <c r="C663" t="s">
        <v>1857</v>
      </c>
    </row>
    <row r="664" spans="1:3" x14ac:dyDescent="0.25">
      <c r="A664">
        <v>663</v>
      </c>
      <c r="B664" t="s">
        <v>143</v>
      </c>
      <c r="C664" t="s">
        <v>1858</v>
      </c>
    </row>
    <row r="665" spans="1:3" x14ac:dyDescent="0.25">
      <c r="A665">
        <v>664</v>
      </c>
      <c r="B665" t="s">
        <v>143</v>
      </c>
      <c r="C665" t="s">
        <v>1859</v>
      </c>
    </row>
    <row r="666" spans="1:3" x14ac:dyDescent="0.25">
      <c r="A666">
        <v>665</v>
      </c>
      <c r="B666" t="s">
        <v>143</v>
      </c>
      <c r="C666" t="s">
        <v>1860</v>
      </c>
    </row>
    <row r="667" spans="1:3" x14ac:dyDescent="0.25">
      <c r="A667">
        <v>666</v>
      </c>
      <c r="B667" t="s">
        <v>143</v>
      </c>
      <c r="C667" t="s">
        <v>1861</v>
      </c>
    </row>
    <row r="668" spans="1:3" x14ac:dyDescent="0.25">
      <c r="A668">
        <v>667</v>
      </c>
      <c r="B668" t="s">
        <v>143</v>
      </c>
      <c r="C668" t="s">
        <v>1862</v>
      </c>
    </row>
    <row r="669" spans="1:3" x14ac:dyDescent="0.25">
      <c r="A669">
        <v>668</v>
      </c>
      <c r="B669" t="s">
        <v>143</v>
      </c>
      <c r="C669" t="s">
        <v>1863</v>
      </c>
    </row>
    <row r="670" spans="1:3" x14ac:dyDescent="0.25">
      <c r="A670">
        <v>669</v>
      </c>
      <c r="B670" t="s">
        <v>143</v>
      </c>
      <c r="C670" t="s">
        <v>1864</v>
      </c>
    </row>
    <row r="671" spans="1:3" x14ac:dyDescent="0.25">
      <c r="A671">
        <v>670</v>
      </c>
      <c r="B671" t="s">
        <v>143</v>
      </c>
      <c r="C671" t="s">
        <v>1865</v>
      </c>
    </row>
    <row r="672" spans="1:3" x14ac:dyDescent="0.25">
      <c r="A672">
        <v>671</v>
      </c>
      <c r="B672" t="s">
        <v>143</v>
      </c>
      <c r="C672" t="s">
        <v>1866</v>
      </c>
    </row>
    <row r="673" spans="1:3" x14ac:dyDescent="0.25">
      <c r="A673">
        <v>672</v>
      </c>
      <c r="B673" t="s">
        <v>143</v>
      </c>
      <c r="C673" t="s">
        <v>1867</v>
      </c>
    </row>
    <row r="674" spans="1:3" x14ac:dyDescent="0.25">
      <c r="A674">
        <v>673</v>
      </c>
      <c r="B674" t="s">
        <v>143</v>
      </c>
      <c r="C674" t="s">
        <v>1868</v>
      </c>
    </row>
    <row r="675" spans="1:3" x14ac:dyDescent="0.25">
      <c r="A675">
        <v>674</v>
      </c>
      <c r="B675" t="s">
        <v>143</v>
      </c>
      <c r="C675" t="s">
        <v>1869</v>
      </c>
    </row>
    <row r="676" spans="1:3" x14ac:dyDescent="0.25">
      <c r="A676">
        <v>675</v>
      </c>
      <c r="B676" t="s">
        <v>143</v>
      </c>
      <c r="C676" t="s">
        <v>1870</v>
      </c>
    </row>
    <row r="677" spans="1:3" x14ac:dyDescent="0.25">
      <c r="A677">
        <v>676</v>
      </c>
      <c r="B677" t="s">
        <v>143</v>
      </c>
      <c r="C677" t="s">
        <v>1871</v>
      </c>
    </row>
    <row r="678" spans="1:3" x14ac:dyDescent="0.25">
      <c r="A678">
        <v>677</v>
      </c>
      <c r="B678" t="s">
        <v>143</v>
      </c>
      <c r="C678" t="s">
        <v>1872</v>
      </c>
    </row>
    <row r="679" spans="1:3" x14ac:dyDescent="0.25">
      <c r="A679">
        <v>678</v>
      </c>
      <c r="B679" t="s">
        <v>143</v>
      </c>
      <c r="C679" t="s">
        <v>1873</v>
      </c>
    </row>
    <row r="680" spans="1:3" x14ac:dyDescent="0.25">
      <c r="A680">
        <v>679</v>
      </c>
      <c r="B680" t="s">
        <v>143</v>
      </c>
      <c r="C680" t="s">
        <v>1874</v>
      </c>
    </row>
    <row r="681" spans="1:3" x14ac:dyDescent="0.25">
      <c r="A681">
        <v>680</v>
      </c>
      <c r="B681" t="s">
        <v>2551</v>
      </c>
      <c r="C681" t="s">
        <v>1875</v>
      </c>
    </row>
    <row r="682" spans="1:3" x14ac:dyDescent="0.25">
      <c r="A682">
        <v>681</v>
      </c>
      <c r="B682" t="s">
        <v>143</v>
      </c>
      <c r="C682" t="s">
        <v>1876</v>
      </c>
    </row>
    <row r="683" spans="1:3" x14ac:dyDescent="0.25">
      <c r="A683">
        <v>682</v>
      </c>
      <c r="B683" t="s">
        <v>143</v>
      </c>
      <c r="C683" t="s">
        <v>1877</v>
      </c>
    </row>
    <row r="684" spans="1:3" x14ac:dyDescent="0.25">
      <c r="A684">
        <v>683</v>
      </c>
      <c r="B684" t="s">
        <v>143</v>
      </c>
      <c r="C684" t="s">
        <v>1878</v>
      </c>
    </row>
    <row r="685" spans="1:3" x14ac:dyDescent="0.25">
      <c r="A685">
        <v>684</v>
      </c>
      <c r="B685" t="s">
        <v>3341</v>
      </c>
      <c r="C685" t="s">
        <v>1879</v>
      </c>
    </row>
    <row r="686" spans="1:3" x14ac:dyDescent="0.25">
      <c r="A686">
        <v>685</v>
      </c>
      <c r="B686" t="s">
        <v>3332</v>
      </c>
      <c r="C686" t="s">
        <v>1880</v>
      </c>
    </row>
    <row r="687" spans="1:3" x14ac:dyDescent="0.25">
      <c r="A687">
        <v>686</v>
      </c>
      <c r="B687" t="s">
        <v>3333</v>
      </c>
      <c r="C687" t="s">
        <v>1881</v>
      </c>
    </row>
    <row r="688" spans="1:3" x14ac:dyDescent="0.25">
      <c r="A688">
        <v>687</v>
      </c>
      <c r="B688" t="s">
        <v>3338</v>
      </c>
      <c r="C688" t="s">
        <v>1882</v>
      </c>
    </row>
    <row r="689" spans="1:3" x14ac:dyDescent="0.25">
      <c r="A689">
        <v>688</v>
      </c>
      <c r="B689" t="s">
        <v>3339</v>
      </c>
      <c r="C689" t="s">
        <v>1883</v>
      </c>
    </row>
    <row r="690" spans="1:3" x14ac:dyDescent="0.25">
      <c r="A690">
        <v>689</v>
      </c>
      <c r="B690" t="s">
        <v>143</v>
      </c>
      <c r="C690" t="s">
        <v>1884</v>
      </c>
    </row>
    <row r="691" spans="1:3" x14ac:dyDescent="0.25">
      <c r="A691">
        <v>690</v>
      </c>
      <c r="B691" t="s">
        <v>143</v>
      </c>
      <c r="C691" t="s">
        <v>1885</v>
      </c>
    </row>
    <row r="692" spans="1:3" x14ac:dyDescent="0.25">
      <c r="A692">
        <v>691</v>
      </c>
      <c r="B692" t="s">
        <v>143</v>
      </c>
      <c r="C692" t="s">
        <v>1886</v>
      </c>
    </row>
    <row r="693" spans="1:3" x14ac:dyDescent="0.25">
      <c r="A693">
        <v>692</v>
      </c>
      <c r="B693" t="s">
        <v>143</v>
      </c>
      <c r="C693" t="s">
        <v>1887</v>
      </c>
    </row>
    <row r="694" spans="1:3" x14ac:dyDescent="0.25">
      <c r="A694">
        <v>693</v>
      </c>
      <c r="B694" t="s">
        <v>143</v>
      </c>
      <c r="C694" t="s">
        <v>1888</v>
      </c>
    </row>
    <row r="695" spans="1:3" x14ac:dyDescent="0.25">
      <c r="A695">
        <v>694</v>
      </c>
      <c r="B695" t="s">
        <v>143</v>
      </c>
      <c r="C695" t="s">
        <v>1889</v>
      </c>
    </row>
    <row r="696" spans="1:3" x14ac:dyDescent="0.25">
      <c r="A696">
        <v>695</v>
      </c>
      <c r="B696" t="s">
        <v>143</v>
      </c>
      <c r="C696" t="s">
        <v>1890</v>
      </c>
    </row>
    <row r="697" spans="1:3" x14ac:dyDescent="0.25">
      <c r="A697">
        <v>696</v>
      </c>
      <c r="B697" t="s">
        <v>143</v>
      </c>
      <c r="C697" t="s">
        <v>1891</v>
      </c>
    </row>
    <row r="698" spans="1:3" x14ac:dyDescent="0.25">
      <c r="A698">
        <v>697</v>
      </c>
      <c r="B698" t="s">
        <v>143</v>
      </c>
      <c r="C698" t="s">
        <v>1892</v>
      </c>
    </row>
    <row r="699" spans="1:3" x14ac:dyDescent="0.25">
      <c r="A699">
        <v>698</v>
      </c>
      <c r="B699" t="s">
        <v>143</v>
      </c>
      <c r="C699" t="s">
        <v>1893</v>
      </c>
    </row>
    <row r="700" spans="1:3" x14ac:dyDescent="0.25">
      <c r="A700">
        <v>699</v>
      </c>
      <c r="B700" t="s">
        <v>143</v>
      </c>
      <c r="C700" t="s">
        <v>1894</v>
      </c>
    </row>
    <row r="701" spans="1:3" x14ac:dyDescent="0.25">
      <c r="A701">
        <v>700</v>
      </c>
      <c r="B701" t="s">
        <v>143</v>
      </c>
      <c r="C701" t="s">
        <v>1895</v>
      </c>
    </row>
    <row r="702" spans="1:3" x14ac:dyDescent="0.25">
      <c r="A702">
        <v>701</v>
      </c>
      <c r="B702" t="s">
        <v>143</v>
      </c>
      <c r="C702" t="s">
        <v>1896</v>
      </c>
    </row>
    <row r="703" spans="1:3" x14ac:dyDescent="0.25">
      <c r="A703">
        <v>702</v>
      </c>
      <c r="B703" t="s">
        <v>143</v>
      </c>
      <c r="C703" t="s">
        <v>1897</v>
      </c>
    </row>
    <row r="704" spans="1:3" x14ac:dyDescent="0.25">
      <c r="A704">
        <v>703</v>
      </c>
      <c r="B704" t="s">
        <v>143</v>
      </c>
      <c r="C704" t="s">
        <v>1898</v>
      </c>
    </row>
    <row r="705" spans="1:3" x14ac:dyDescent="0.25">
      <c r="A705">
        <v>704</v>
      </c>
      <c r="B705" t="s">
        <v>143</v>
      </c>
      <c r="C705" t="s">
        <v>1899</v>
      </c>
    </row>
    <row r="706" spans="1:3" x14ac:dyDescent="0.25">
      <c r="A706">
        <v>705</v>
      </c>
      <c r="B706" t="s">
        <v>143</v>
      </c>
      <c r="C706" t="s">
        <v>1900</v>
      </c>
    </row>
    <row r="707" spans="1:3" x14ac:dyDescent="0.25">
      <c r="A707">
        <v>706</v>
      </c>
      <c r="B707" t="s">
        <v>143</v>
      </c>
      <c r="C707" t="s">
        <v>1901</v>
      </c>
    </row>
    <row r="708" spans="1:3" x14ac:dyDescent="0.25">
      <c r="A708">
        <v>707</v>
      </c>
      <c r="B708" t="s">
        <v>143</v>
      </c>
      <c r="C708" t="s">
        <v>1902</v>
      </c>
    </row>
    <row r="709" spans="1:3" x14ac:dyDescent="0.25">
      <c r="A709">
        <v>708</v>
      </c>
      <c r="B709" t="s">
        <v>143</v>
      </c>
      <c r="C709" t="s">
        <v>1903</v>
      </c>
    </row>
    <row r="710" spans="1:3" x14ac:dyDescent="0.25">
      <c r="A710">
        <v>709</v>
      </c>
      <c r="B710" t="s">
        <v>143</v>
      </c>
      <c r="C710" t="s">
        <v>1904</v>
      </c>
    </row>
    <row r="711" spans="1:3" x14ac:dyDescent="0.25">
      <c r="A711">
        <v>710</v>
      </c>
      <c r="B711" t="s">
        <v>143</v>
      </c>
      <c r="C711" t="s">
        <v>1905</v>
      </c>
    </row>
    <row r="712" spans="1:3" x14ac:dyDescent="0.25">
      <c r="A712">
        <v>711</v>
      </c>
      <c r="B712" t="s">
        <v>143</v>
      </c>
      <c r="C712" t="s">
        <v>1906</v>
      </c>
    </row>
    <row r="713" spans="1:3" x14ac:dyDescent="0.25">
      <c r="A713">
        <v>712</v>
      </c>
      <c r="B713" t="s">
        <v>143</v>
      </c>
      <c r="C713" t="s">
        <v>1907</v>
      </c>
    </row>
    <row r="714" spans="1:3" x14ac:dyDescent="0.25">
      <c r="A714">
        <v>713</v>
      </c>
      <c r="B714" t="s">
        <v>143</v>
      </c>
      <c r="C714" t="s">
        <v>1908</v>
      </c>
    </row>
    <row r="715" spans="1:3" x14ac:dyDescent="0.25">
      <c r="A715">
        <v>714</v>
      </c>
      <c r="B715" t="s">
        <v>143</v>
      </c>
      <c r="C715" t="s">
        <v>1909</v>
      </c>
    </row>
    <row r="716" spans="1:3" x14ac:dyDescent="0.25">
      <c r="A716">
        <v>715</v>
      </c>
      <c r="B716" t="s">
        <v>143</v>
      </c>
      <c r="C716" t="s">
        <v>1910</v>
      </c>
    </row>
    <row r="717" spans="1:3" x14ac:dyDescent="0.25">
      <c r="A717">
        <v>716</v>
      </c>
      <c r="B717" t="s">
        <v>143</v>
      </c>
      <c r="C717" t="s">
        <v>1911</v>
      </c>
    </row>
    <row r="718" spans="1:3" x14ac:dyDescent="0.25">
      <c r="A718">
        <v>717</v>
      </c>
      <c r="B718" t="s">
        <v>143</v>
      </c>
      <c r="C718" t="s">
        <v>1912</v>
      </c>
    </row>
    <row r="719" spans="1:3" x14ac:dyDescent="0.25">
      <c r="A719">
        <v>718</v>
      </c>
      <c r="B719" t="s">
        <v>143</v>
      </c>
      <c r="C719" t="s">
        <v>1913</v>
      </c>
    </row>
    <row r="720" spans="1:3" x14ac:dyDescent="0.25">
      <c r="A720">
        <v>719</v>
      </c>
      <c r="B720" t="s">
        <v>143</v>
      </c>
      <c r="C720" t="s">
        <v>1914</v>
      </c>
    </row>
    <row r="721" spans="1:3" x14ac:dyDescent="0.25">
      <c r="A721">
        <v>720</v>
      </c>
      <c r="B721" t="s">
        <v>143</v>
      </c>
      <c r="C721" t="s">
        <v>1915</v>
      </c>
    </row>
    <row r="722" spans="1:3" x14ac:dyDescent="0.25">
      <c r="A722">
        <v>721</v>
      </c>
      <c r="B722" t="s">
        <v>143</v>
      </c>
      <c r="C722" t="s">
        <v>1916</v>
      </c>
    </row>
    <row r="723" spans="1:3" x14ac:dyDescent="0.25">
      <c r="A723">
        <v>722</v>
      </c>
      <c r="B723" t="s">
        <v>143</v>
      </c>
      <c r="C723" t="s">
        <v>1917</v>
      </c>
    </row>
    <row r="724" spans="1:3" x14ac:dyDescent="0.25">
      <c r="A724">
        <v>723</v>
      </c>
      <c r="B724" t="s">
        <v>143</v>
      </c>
      <c r="C724" t="s">
        <v>1918</v>
      </c>
    </row>
    <row r="725" spans="1:3" x14ac:dyDescent="0.25">
      <c r="A725">
        <v>724</v>
      </c>
      <c r="B725" t="s">
        <v>143</v>
      </c>
      <c r="C725" t="s">
        <v>1919</v>
      </c>
    </row>
    <row r="726" spans="1:3" x14ac:dyDescent="0.25">
      <c r="A726">
        <v>725</v>
      </c>
      <c r="B726" t="s">
        <v>143</v>
      </c>
      <c r="C726" t="s">
        <v>1920</v>
      </c>
    </row>
    <row r="727" spans="1:3" x14ac:dyDescent="0.25">
      <c r="A727">
        <v>726</v>
      </c>
      <c r="B727" t="s">
        <v>143</v>
      </c>
      <c r="C727" t="s">
        <v>1921</v>
      </c>
    </row>
    <row r="728" spans="1:3" x14ac:dyDescent="0.25">
      <c r="A728">
        <v>727</v>
      </c>
      <c r="B728" t="s">
        <v>143</v>
      </c>
      <c r="C728" t="s">
        <v>1922</v>
      </c>
    </row>
    <row r="729" spans="1:3" x14ac:dyDescent="0.25">
      <c r="A729">
        <v>728</v>
      </c>
      <c r="B729" t="s">
        <v>143</v>
      </c>
      <c r="C729" t="s">
        <v>1923</v>
      </c>
    </row>
    <row r="730" spans="1:3" x14ac:dyDescent="0.25">
      <c r="A730">
        <v>729</v>
      </c>
      <c r="B730" t="s">
        <v>143</v>
      </c>
      <c r="C730" t="s">
        <v>1924</v>
      </c>
    </row>
    <row r="731" spans="1:3" x14ac:dyDescent="0.25">
      <c r="A731">
        <v>730</v>
      </c>
      <c r="B731" t="s">
        <v>143</v>
      </c>
      <c r="C731" t="s">
        <v>1925</v>
      </c>
    </row>
    <row r="732" spans="1:3" x14ac:dyDescent="0.25">
      <c r="A732">
        <v>731</v>
      </c>
      <c r="B732" t="s">
        <v>143</v>
      </c>
      <c r="C732" t="s">
        <v>1926</v>
      </c>
    </row>
    <row r="733" spans="1:3" x14ac:dyDescent="0.25">
      <c r="A733">
        <v>732</v>
      </c>
      <c r="B733" t="s">
        <v>143</v>
      </c>
      <c r="C733" t="s">
        <v>1927</v>
      </c>
    </row>
    <row r="734" spans="1:3" x14ac:dyDescent="0.25">
      <c r="A734">
        <v>733</v>
      </c>
      <c r="B734" t="s">
        <v>143</v>
      </c>
      <c r="C734" t="s">
        <v>1928</v>
      </c>
    </row>
    <row r="735" spans="1:3" x14ac:dyDescent="0.25">
      <c r="A735">
        <v>734</v>
      </c>
      <c r="B735" t="s">
        <v>143</v>
      </c>
      <c r="C735" t="s">
        <v>1929</v>
      </c>
    </row>
    <row r="736" spans="1:3" x14ac:dyDescent="0.25">
      <c r="A736">
        <v>735</v>
      </c>
      <c r="B736" t="s">
        <v>143</v>
      </c>
      <c r="C736" t="s">
        <v>1930</v>
      </c>
    </row>
    <row r="737" spans="1:3" x14ac:dyDescent="0.25">
      <c r="A737">
        <v>736</v>
      </c>
      <c r="B737" t="s">
        <v>143</v>
      </c>
      <c r="C737" t="s">
        <v>1931</v>
      </c>
    </row>
    <row r="738" spans="1:3" x14ac:dyDescent="0.25">
      <c r="A738">
        <v>737</v>
      </c>
      <c r="B738" t="s">
        <v>143</v>
      </c>
      <c r="C738" t="s">
        <v>1932</v>
      </c>
    </row>
    <row r="739" spans="1:3" x14ac:dyDescent="0.25">
      <c r="A739">
        <v>738</v>
      </c>
      <c r="B739" t="s">
        <v>143</v>
      </c>
      <c r="C739" t="s">
        <v>1933</v>
      </c>
    </row>
    <row r="740" spans="1:3" x14ac:dyDescent="0.25">
      <c r="A740">
        <v>739</v>
      </c>
      <c r="B740" t="s">
        <v>143</v>
      </c>
      <c r="C740" t="s">
        <v>1934</v>
      </c>
    </row>
    <row r="741" spans="1:3" x14ac:dyDescent="0.25">
      <c r="A741">
        <v>740</v>
      </c>
      <c r="B741" t="s">
        <v>143</v>
      </c>
      <c r="C741" t="s">
        <v>1935</v>
      </c>
    </row>
    <row r="742" spans="1:3" x14ac:dyDescent="0.25">
      <c r="A742">
        <v>741</v>
      </c>
      <c r="B742" t="s">
        <v>143</v>
      </c>
      <c r="C742" t="s">
        <v>1936</v>
      </c>
    </row>
    <row r="743" spans="1:3" x14ac:dyDescent="0.25">
      <c r="A743">
        <v>742</v>
      </c>
      <c r="B743" t="s">
        <v>143</v>
      </c>
      <c r="C743" t="s">
        <v>1937</v>
      </c>
    </row>
    <row r="744" spans="1:3" x14ac:dyDescent="0.25">
      <c r="A744">
        <v>743</v>
      </c>
      <c r="B744" t="s">
        <v>143</v>
      </c>
      <c r="C744" t="s">
        <v>1938</v>
      </c>
    </row>
    <row r="745" spans="1:3" x14ac:dyDescent="0.25">
      <c r="A745">
        <v>744</v>
      </c>
      <c r="B745" t="s">
        <v>143</v>
      </c>
      <c r="C745" t="s">
        <v>1939</v>
      </c>
    </row>
    <row r="746" spans="1:3" x14ac:dyDescent="0.25">
      <c r="A746">
        <v>745</v>
      </c>
      <c r="B746" t="s">
        <v>143</v>
      </c>
      <c r="C746" t="s">
        <v>1940</v>
      </c>
    </row>
    <row r="747" spans="1:3" x14ac:dyDescent="0.25">
      <c r="A747">
        <v>746</v>
      </c>
      <c r="B747" t="s">
        <v>143</v>
      </c>
      <c r="C747" t="s">
        <v>1941</v>
      </c>
    </row>
    <row r="748" spans="1:3" x14ac:dyDescent="0.25">
      <c r="A748">
        <v>747</v>
      </c>
      <c r="B748" t="s">
        <v>143</v>
      </c>
      <c r="C748" t="s">
        <v>1942</v>
      </c>
    </row>
    <row r="749" spans="1:3" x14ac:dyDescent="0.25">
      <c r="A749">
        <v>748</v>
      </c>
      <c r="B749" t="s">
        <v>143</v>
      </c>
      <c r="C749" t="s">
        <v>1943</v>
      </c>
    </row>
    <row r="750" spans="1:3" x14ac:dyDescent="0.25">
      <c r="A750">
        <v>749</v>
      </c>
      <c r="B750" t="s">
        <v>143</v>
      </c>
      <c r="C750" t="s">
        <v>1944</v>
      </c>
    </row>
    <row r="751" spans="1:3" x14ac:dyDescent="0.25">
      <c r="A751">
        <v>750</v>
      </c>
      <c r="B751" t="s">
        <v>143</v>
      </c>
      <c r="C751" t="s">
        <v>1945</v>
      </c>
    </row>
    <row r="752" spans="1:3" x14ac:dyDescent="0.25">
      <c r="A752">
        <v>751</v>
      </c>
      <c r="B752" t="s">
        <v>143</v>
      </c>
      <c r="C752" t="s">
        <v>1946</v>
      </c>
    </row>
    <row r="753" spans="1:3" x14ac:dyDescent="0.25">
      <c r="A753">
        <v>752</v>
      </c>
      <c r="B753" t="s">
        <v>143</v>
      </c>
      <c r="C753" t="s">
        <v>1947</v>
      </c>
    </row>
    <row r="754" spans="1:3" x14ac:dyDescent="0.25">
      <c r="A754">
        <v>753</v>
      </c>
      <c r="B754" t="s">
        <v>143</v>
      </c>
      <c r="C754" t="s">
        <v>1948</v>
      </c>
    </row>
    <row r="755" spans="1:3" x14ac:dyDescent="0.25">
      <c r="A755">
        <v>754</v>
      </c>
      <c r="B755" t="s">
        <v>143</v>
      </c>
      <c r="C755" t="s">
        <v>1949</v>
      </c>
    </row>
    <row r="756" spans="1:3" x14ac:dyDescent="0.25">
      <c r="A756">
        <v>755</v>
      </c>
      <c r="B756" t="s">
        <v>143</v>
      </c>
      <c r="C756" t="s">
        <v>1950</v>
      </c>
    </row>
    <row r="757" spans="1:3" x14ac:dyDescent="0.25">
      <c r="A757">
        <v>756</v>
      </c>
      <c r="B757" t="s">
        <v>143</v>
      </c>
      <c r="C757" t="s">
        <v>1951</v>
      </c>
    </row>
    <row r="758" spans="1:3" x14ac:dyDescent="0.25">
      <c r="A758">
        <v>757</v>
      </c>
      <c r="B758" t="s">
        <v>143</v>
      </c>
      <c r="C758" t="s">
        <v>1952</v>
      </c>
    </row>
    <row r="759" spans="1:3" x14ac:dyDescent="0.25">
      <c r="A759">
        <v>758</v>
      </c>
      <c r="B759" t="s">
        <v>143</v>
      </c>
      <c r="C759" t="s">
        <v>1953</v>
      </c>
    </row>
    <row r="760" spans="1:3" x14ac:dyDescent="0.25">
      <c r="A760">
        <v>759</v>
      </c>
      <c r="B760" t="s">
        <v>143</v>
      </c>
      <c r="C760" t="s">
        <v>1954</v>
      </c>
    </row>
    <row r="761" spans="1:3" x14ac:dyDescent="0.25">
      <c r="A761">
        <v>760</v>
      </c>
      <c r="B761" t="s">
        <v>143</v>
      </c>
      <c r="C761" t="s">
        <v>1955</v>
      </c>
    </row>
    <row r="762" spans="1:3" x14ac:dyDescent="0.25">
      <c r="A762">
        <v>761</v>
      </c>
      <c r="B762" t="s">
        <v>143</v>
      </c>
      <c r="C762" t="s">
        <v>1956</v>
      </c>
    </row>
    <row r="763" spans="1:3" x14ac:dyDescent="0.25">
      <c r="A763">
        <v>762</v>
      </c>
      <c r="B763" t="s">
        <v>143</v>
      </c>
      <c r="C763" t="s">
        <v>1957</v>
      </c>
    </row>
    <row r="764" spans="1:3" x14ac:dyDescent="0.25">
      <c r="A764">
        <v>763</v>
      </c>
      <c r="B764" t="s">
        <v>143</v>
      </c>
      <c r="C764" t="s">
        <v>1958</v>
      </c>
    </row>
    <row r="765" spans="1:3" x14ac:dyDescent="0.25">
      <c r="A765">
        <v>764</v>
      </c>
      <c r="B765" t="s">
        <v>143</v>
      </c>
      <c r="C765" t="s">
        <v>1959</v>
      </c>
    </row>
    <row r="766" spans="1:3" x14ac:dyDescent="0.25">
      <c r="A766">
        <v>765</v>
      </c>
      <c r="B766" t="s">
        <v>143</v>
      </c>
      <c r="C766" t="s">
        <v>1960</v>
      </c>
    </row>
    <row r="767" spans="1:3" x14ac:dyDescent="0.25">
      <c r="A767">
        <v>766</v>
      </c>
      <c r="B767" t="s">
        <v>143</v>
      </c>
      <c r="C767" t="s">
        <v>1961</v>
      </c>
    </row>
    <row r="768" spans="1:3" x14ac:dyDescent="0.25">
      <c r="A768">
        <v>767</v>
      </c>
      <c r="B768" t="s">
        <v>143</v>
      </c>
      <c r="C768" t="s">
        <v>1962</v>
      </c>
    </row>
    <row r="769" spans="1:3" x14ac:dyDescent="0.25">
      <c r="A769">
        <v>768</v>
      </c>
      <c r="B769" t="s">
        <v>143</v>
      </c>
      <c r="C769" t="s">
        <v>1963</v>
      </c>
    </row>
    <row r="770" spans="1:3" x14ac:dyDescent="0.25">
      <c r="A770">
        <v>769</v>
      </c>
      <c r="B770" t="s">
        <v>143</v>
      </c>
      <c r="C770" t="s">
        <v>1964</v>
      </c>
    </row>
    <row r="771" spans="1:3" x14ac:dyDescent="0.25">
      <c r="A771">
        <v>770</v>
      </c>
      <c r="B771" t="s">
        <v>143</v>
      </c>
      <c r="C771" t="s">
        <v>1965</v>
      </c>
    </row>
    <row r="772" spans="1:3" x14ac:dyDescent="0.25">
      <c r="A772">
        <v>771</v>
      </c>
      <c r="B772" t="s">
        <v>143</v>
      </c>
      <c r="C772" t="s">
        <v>1966</v>
      </c>
    </row>
    <row r="773" spans="1:3" x14ac:dyDescent="0.25">
      <c r="A773">
        <v>772</v>
      </c>
      <c r="B773" t="s">
        <v>143</v>
      </c>
      <c r="C773" t="s">
        <v>1967</v>
      </c>
    </row>
    <row r="774" spans="1:3" x14ac:dyDescent="0.25">
      <c r="A774">
        <v>773</v>
      </c>
      <c r="B774" t="s">
        <v>143</v>
      </c>
      <c r="C774" t="s">
        <v>1968</v>
      </c>
    </row>
    <row r="775" spans="1:3" x14ac:dyDescent="0.25">
      <c r="A775">
        <v>774</v>
      </c>
      <c r="B775" t="s">
        <v>143</v>
      </c>
      <c r="C775" t="s">
        <v>1969</v>
      </c>
    </row>
    <row r="776" spans="1:3" x14ac:dyDescent="0.25">
      <c r="A776">
        <v>775</v>
      </c>
      <c r="B776" t="s">
        <v>143</v>
      </c>
      <c r="C776" t="s">
        <v>1970</v>
      </c>
    </row>
    <row r="777" spans="1:3" x14ac:dyDescent="0.25">
      <c r="A777">
        <v>776</v>
      </c>
      <c r="B777" t="s">
        <v>143</v>
      </c>
      <c r="C777" t="s">
        <v>1971</v>
      </c>
    </row>
    <row r="778" spans="1:3" x14ac:dyDescent="0.25">
      <c r="A778">
        <v>777</v>
      </c>
      <c r="B778" t="s">
        <v>143</v>
      </c>
      <c r="C778" t="s">
        <v>1972</v>
      </c>
    </row>
    <row r="779" spans="1:3" x14ac:dyDescent="0.25">
      <c r="A779">
        <v>778</v>
      </c>
      <c r="B779" t="s">
        <v>143</v>
      </c>
      <c r="C779" t="s">
        <v>1973</v>
      </c>
    </row>
    <row r="780" spans="1:3" x14ac:dyDescent="0.25">
      <c r="A780">
        <v>779</v>
      </c>
      <c r="B780" t="s">
        <v>143</v>
      </c>
      <c r="C780" t="s">
        <v>1974</v>
      </c>
    </row>
    <row r="781" spans="1:3" x14ac:dyDescent="0.25">
      <c r="A781">
        <v>780</v>
      </c>
      <c r="B781" t="s">
        <v>143</v>
      </c>
      <c r="C781" t="s">
        <v>1975</v>
      </c>
    </row>
    <row r="782" spans="1:3" x14ac:dyDescent="0.25">
      <c r="A782">
        <v>781</v>
      </c>
      <c r="B782" t="s">
        <v>143</v>
      </c>
      <c r="C782" t="s">
        <v>1976</v>
      </c>
    </row>
    <row r="783" spans="1:3" x14ac:dyDescent="0.25">
      <c r="A783">
        <v>782</v>
      </c>
      <c r="B783" t="s">
        <v>143</v>
      </c>
      <c r="C783" t="s">
        <v>1977</v>
      </c>
    </row>
    <row r="784" spans="1:3" x14ac:dyDescent="0.25">
      <c r="A784">
        <v>783</v>
      </c>
      <c r="B784" t="s">
        <v>143</v>
      </c>
      <c r="C784" t="s">
        <v>1978</v>
      </c>
    </row>
    <row r="785" spans="1:3" x14ac:dyDescent="0.25">
      <c r="A785">
        <v>784</v>
      </c>
      <c r="B785" t="s">
        <v>143</v>
      </c>
      <c r="C785" t="s">
        <v>1979</v>
      </c>
    </row>
    <row r="786" spans="1:3" x14ac:dyDescent="0.25">
      <c r="A786">
        <v>785</v>
      </c>
      <c r="B786" t="s">
        <v>143</v>
      </c>
      <c r="C786" t="s">
        <v>1980</v>
      </c>
    </row>
    <row r="787" spans="1:3" x14ac:dyDescent="0.25">
      <c r="A787">
        <v>786</v>
      </c>
      <c r="B787" t="s">
        <v>143</v>
      </c>
      <c r="C787" t="s">
        <v>1981</v>
      </c>
    </row>
    <row r="788" spans="1:3" x14ac:dyDescent="0.25">
      <c r="A788">
        <v>787</v>
      </c>
      <c r="B788" t="s">
        <v>143</v>
      </c>
      <c r="C788" t="s">
        <v>1982</v>
      </c>
    </row>
    <row r="789" spans="1:3" x14ac:dyDescent="0.25">
      <c r="A789">
        <v>788</v>
      </c>
      <c r="B789" t="s">
        <v>143</v>
      </c>
      <c r="C789" t="s">
        <v>1983</v>
      </c>
    </row>
    <row r="790" spans="1:3" x14ac:dyDescent="0.25">
      <c r="A790">
        <v>789</v>
      </c>
      <c r="B790" t="s">
        <v>143</v>
      </c>
      <c r="C790" t="s">
        <v>1984</v>
      </c>
    </row>
    <row r="791" spans="1:3" x14ac:dyDescent="0.25">
      <c r="A791">
        <v>790</v>
      </c>
      <c r="B791" t="s">
        <v>143</v>
      </c>
      <c r="C791" t="s">
        <v>1985</v>
      </c>
    </row>
    <row r="792" spans="1:3" x14ac:dyDescent="0.25">
      <c r="A792">
        <v>791</v>
      </c>
      <c r="B792" t="s">
        <v>143</v>
      </c>
      <c r="C792" t="s">
        <v>1986</v>
      </c>
    </row>
    <row r="793" spans="1:3" x14ac:dyDescent="0.25">
      <c r="A793">
        <v>792</v>
      </c>
      <c r="B793" t="s">
        <v>143</v>
      </c>
      <c r="C793" t="s">
        <v>1987</v>
      </c>
    </row>
    <row r="794" spans="1:3" x14ac:dyDescent="0.25">
      <c r="A794">
        <v>793</v>
      </c>
      <c r="B794" t="s">
        <v>143</v>
      </c>
      <c r="C794" t="s">
        <v>1988</v>
      </c>
    </row>
    <row r="795" spans="1:3" x14ac:dyDescent="0.25">
      <c r="A795">
        <v>794</v>
      </c>
      <c r="B795" t="s">
        <v>143</v>
      </c>
      <c r="C795" t="s">
        <v>1989</v>
      </c>
    </row>
  </sheetData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19"/>
  <dimension ref="A1:D16"/>
  <sheetViews>
    <sheetView topLeftCell="A10" workbookViewId="0">
      <selection activeCell="A17" sqref="A17"/>
    </sheetView>
  </sheetViews>
  <sheetFormatPr defaultRowHeight="15" x14ac:dyDescent="0.25"/>
  <cols>
    <col min="1" max="1" width="10.7109375" bestFit="1" customWidth="1"/>
    <col min="2" max="3" width="34.28515625" customWidth="1"/>
  </cols>
  <sheetData>
    <row r="1" spans="1:4" x14ac:dyDescent="0.25">
      <c r="A1" t="s">
        <v>1085</v>
      </c>
      <c r="B1" t="s">
        <v>1090</v>
      </c>
      <c r="C1" t="s">
        <v>1091</v>
      </c>
      <c r="D1" t="s">
        <v>1086</v>
      </c>
    </row>
    <row r="2" spans="1:4" x14ac:dyDescent="0.25">
      <c r="A2" s="57">
        <v>42801</v>
      </c>
      <c r="B2" t="s">
        <v>1087</v>
      </c>
      <c r="C2" t="s">
        <v>1092</v>
      </c>
      <c r="D2" t="s">
        <v>1088</v>
      </c>
    </row>
    <row r="3" spans="1:4" x14ac:dyDescent="0.25">
      <c r="A3" s="57">
        <v>42832</v>
      </c>
      <c r="B3" t="s">
        <v>1089</v>
      </c>
      <c r="C3" t="s">
        <v>1093</v>
      </c>
      <c r="D3" t="s">
        <v>1088</v>
      </c>
    </row>
    <row r="4" spans="1:4" x14ac:dyDescent="0.25">
      <c r="A4" s="57">
        <v>43353</v>
      </c>
      <c r="B4" t="s">
        <v>1094</v>
      </c>
      <c r="C4" t="s">
        <v>1095</v>
      </c>
      <c r="D4" t="s">
        <v>1088</v>
      </c>
    </row>
    <row r="5" spans="1:4" x14ac:dyDescent="0.25">
      <c r="A5" s="57">
        <v>43776</v>
      </c>
      <c r="B5" t="s">
        <v>1096</v>
      </c>
      <c r="C5" t="s">
        <v>1097</v>
      </c>
      <c r="D5" t="s">
        <v>1088</v>
      </c>
    </row>
    <row r="6" spans="1:4" x14ac:dyDescent="0.25">
      <c r="A6" s="58">
        <v>43810</v>
      </c>
      <c r="B6" t="s">
        <v>1098</v>
      </c>
      <c r="C6" t="s">
        <v>1099</v>
      </c>
      <c r="D6" t="s">
        <v>1088</v>
      </c>
    </row>
    <row r="7" spans="1:4" ht="45" x14ac:dyDescent="0.25">
      <c r="A7" s="58">
        <v>43811</v>
      </c>
      <c r="B7" t="s">
        <v>1101</v>
      </c>
      <c r="C7" s="61" t="s">
        <v>1102</v>
      </c>
      <c r="D7" t="s">
        <v>1088</v>
      </c>
    </row>
    <row r="8" spans="1:4" x14ac:dyDescent="0.25">
      <c r="A8" s="58">
        <v>43887</v>
      </c>
      <c r="B8" t="s">
        <v>1132</v>
      </c>
      <c r="C8" t="s">
        <v>1133</v>
      </c>
      <c r="D8" t="s">
        <v>1134</v>
      </c>
    </row>
    <row r="9" spans="1:4" x14ac:dyDescent="0.25">
      <c r="A9" s="58">
        <v>43888</v>
      </c>
      <c r="B9" t="s">
        <v>1135</v>
      </c>
      <c r="C9" t="s">
        <v>1136</v>
      </c>
      <c r="D9" t="s">
        <v>1088</v>
      </c>
    </row>
    <row r="10" spans="1:4" ht="60" x14ac:dyDescent="0.25">
      <c r="A10" s="58">
        <v>43897</v>
      </c>
      <c r="B10" t="s">
        <v>1169</v>
      </c>
      <c r="C10" s="61" t="s">
        <v>1170</v>
      </c>
      <c r="D10" t="s">
        <v>1088</v>
      </c>
    </row>
    <row r="11" spans="1:4" ht="105" x14ac:dyDescent="0.25">
      <c r="A11" s="58">
        <v>43953</v>
      </c>
      <c r="B11" t="s">
        <v>1184</v>
      </c>
      <c r="C11" s="61" t="s">
        <v>1185</v>
      </c>
      <c r="D11" t="s">
        <v>1088</v>
      </c>
    </row>
    <row r="12" spans="1:4" ht="30" x14ac:dyDescent="0.25">
      <c r="A12" s="58">
        <v>43997</v>
      </c>
      <c r="B12" t="s">
        <v>1189</v>
      </c>
      <c r="C12" s="61" t="s">
        <v>1190</v>
      </c>
      <c r="D12" t="s">
        <v>1088</v>
      </c>
    </row>
    <row r="13" spans="1:4" x14ac:dyDescent="0.25">
      <c r="A13" s="58">
        <v>44029</v>
      </c>
      <c r="B13" t="s">
        <v>1191</v>
      </c>
      <c r="C13" s="61" t="s">
        <v>1192</v>
      </c>
      <c r="D13" t="s">
        <v>1088</v>
      </c>
    </row>
    <row r="14" spans="1:4" x14ac:dyDescent="0.25">
      <c r="A14" s="58">
        <v>44102</v>
      </c>
      <c r="B14" t="s">
        <v>2016</v>
      </c>
      <c r="C14" s="61" t="s">
        <v>2017</v>
      </c>
      <c r="D14" t="s">
        <v>1088</v>
      </c>
    </row>
    <row r="15" spans="1:4" ht="30" x14ac:dyDescent="0.25">
      <c r="A15" s="58">
        <v>44125</v>
      </c>
      <c r="B15" t="s">
        <v>2066</v>
      </c>
      <c r="C15" s="61" t="s">
        <v>2067</v>
      </c>
      <c r="D15" t="s">
        <v>1088</v>
      </c>
    </row>
    <row r="16" spans="1:4" x14ac:dyDescent="0.25">
      <c r="A16" s="58">
        <v>44169</v>
      </c>
      <c r="B16" t="s">
        <v>2077</v>
      </c>
      <c r="C16" s="61" t="s">
        <v>2078</v>
      </c>
      <c r="D16" t="s">
        <v>1088</v>
      </c>
    </row>
  </sheetData>
  <pageMargins left="0.7" right="0.7" top="0.75" bottom="0.75" header="0.3" footer="0.3"/>
  <pageSetup orientation="portrait" horizontalDpi="300" verticalDpi="30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34"/>
  <dimension ref="A1:C234"/>
  <sheetViews>
    <sheetView workbookViewId="0">
      <selection activeCell="B17" sqref="B17"/>
    </sheetView>
  </sheetViews>
  <sheetFormatPr defaultRowHeight="15" x14ac:dyDescent="0.25"/>
  <cols>
    <col min="2" max="2" width="49.5703125" bestFit="1" customWidth="1"/>
    <col min="3" max="4" width="67.85546875" bestFit="1" customWidth="1"/>
  </cols>
  <sheetData>
    <row r="1" spans="1:3" x14ac:dyDescent="0.25">
      <c r="A1">
        <v>0</v>
      </c>
      <c r="B1" t="s">
        <v>660</v>
      </c>
      <c r="C1" t="s">
        <v>1193</v>
      </c>
    </row>
    <row r="2" spans="1:3" x14ac:dyDescent="0.25">
      <c r="A2">
        <v>1</v>
      </c>
      <c r="B2" t="s">
        <v>661</v>
      </c>
      <c r="C2" t="s">
        <v>662</v>
      </c>
    </row>
    <row r="3" spans="1:3" x14ac:dyDescent="0.25">
      <c r="A3">
        <v>2</v>
      </c>
      <c r="B3" t="s">
        <v>663</v>
      </c>
      <c r="C3" t="s">
        <v>664</v>
      </c>
    </row>
    <row r="4" spans="1:3" x14ac:dyDescent="0.25">
      <c r="A4">
        <v>3</v>
      </c>
      <c r="B4" t="s">
        <v>665</v>
      </c>
      <c r="C4" t="s">
        <v>666</v>
      </c>
    </row>
    <row r="5" spans="1:3" x14ac:dyDescent="0.25">
      <c r="A5">
        <v>4</v>
      </c>
      <c r="B5" t="s">
        <v>667</v>
      </c>
      <c r="C5" t="s">
        <v>668</v>
      </c>
    </row>
    <row r="6" spans="1:3" x14ac:dyDescent="0.25">
      <c r="A6">
        <v>5</v>
      </c>
      <c r="B6" t="s">
        <v>669</v>
      </c>
      <c r="C6" t="s">
        <v>670</v>
      </c>
    </row>
    <row r="7" spans="1:3" x14ac:dyDescent="0.25">
      <c r="A7">
        <v>6</v>
      </c>
      <c r="B7" t="s">
        <v>671</v>
      </c>
      <c r="C7" t="s">
        <v>672</v>
      </c>
    </row>
    <row r="8" spans="1:3" x14ac:dyDescent="0.25">
      <c r="A8">
        <v>7</v>
      </c>
      <c r="B8" t="s">
        <v>143</v>
      </c>
      <c r="C8" t="s">
        <v>151</v>
      </c>
    </row>
    <row r="9" spans="1:3" x14ac:dyDescent="0.25">
      <c r="A9">
        <v>8</v>
      </c>
      <c r="B9" t="s">
        <v>143</v>
      </c>
      <c r="C9" t="s">
        <v>152</v>
      </c>
    </row>
    <row r="10" spans="1:3" x14ac:dyDescent="0.25">
      <c r="A10">
        <v>9</v>
      </c>
      <c r="B10" t="s">
        <v>143</v>
      </c>
      <c r="C10" t="s">
        <v>153</v>
      </c>
    </row>
    <row r="11" spans="1:3" x14ac:dyDescent="0.25">
      <c r="A11">
        <v>10</v>
      </c>
      <c r="B11" t="s">
        <v>143</v>
      </c>
      <c r="C11" t="s">
        <v>154</v>
      </c>
    </row>
    <row r="12" spans="1:3" x14ac:dyDescent="0.25">
      <c r="A12">
        <v>11</v>
      </c>
      <c r="B12" t="s">
        <v>673</v>
      </c>
      <c r="C12" t="s">
        <v>674</v>
      </c>
    </row>
    <row r="13" spans="1:3" x14ac:dyDescent="0.25">
      <c r="A13">
        <v>12</v>
      </c>
      <c r="B13" t="s">
        <v>675</v>
      </c>
      <c r="C13" t="s">
        <v>676</v>
      </c>
    </row>
    <row r="14" spans="1:3" x14ac:dyDescent="0.25">
      <c r="A14">
        <v>13</v>
      </c>
      <c r="B14" t="s">
        <v>143</v>
      </c>
      <c r="C14" t="s">
        <v>157</v>
      </c>
    </row>
    <row r="15" spans="1:3" x14ac:dyDescent="0.25">
      <c r="A15">
        <v>14</v>
      </c>
      <c r="B15" t="s">
        <v>677</v>
      </c>
      <c r="C15" t="s">
        <v>158</v>
      </c>
    </row>
    <row r="16" spans="1:3" x14ac:dyDescent="0.25">
      <c r="A16">
        <v>15</v>
      </c>
      <c r="B16" t="s">
        <v>893</v>
      </c>
      <c r="C16" t="s">
        <v>894</v>
      </c>
    </row>
    <row r="17" spans="1:3" x14ac:dyDescent="0.25">
      <c r="A17">
        <v>16</v>
      </c>
      <c r="B17" t="s">
        <v>143</v>
      </c>
      <c r="C17" t="s">
        <v>2552</v>
      </c>
    </row>
    <row r="18" spans="1:3" x14ac:dyDescent="0.25">
      <c r="A18">
        <v>17</v>
      </c>
      <c r="B18" t="s">
        <v>143</v>
      </c>
      <c r="C18" t="s">
        <v>2553</v>
      </c>
    </row>
    <row r="19" spans="1:3" x14ac:dyDescent="0.25">
      <c r="A19">
        <v>18</v>
      </c>
      <c r="B19" t="s">
        <v>143</v>
      </c>
      <c r="C19" t="s">
        <v>2554</v>
      </c>
    </row>
    <row r="20" spans="1:3" x14ac:dyDescent="0.25">
      <c r="A20">
        <v>19</v>
      </c>
      <c r="B20" t="s">
        <v>143</v>
      </c>
      <c r="C20" t="s">
        <v>2555</v>
      </c>
    </row>
    <row r="21" spans="1:3" x14ac:dyDescent="0.25">
      <c r="A21">
        <v>20</v>
      </c>
      <c r="B21" t="s">
        <v>143</v>
      </c>
      <c r="C21" t="s">
        <v>2556</v>
      </c>
    </row>
    <row r="22" spans="1:3" x14ac:dyDescent="0.25">
      <c r="A22">
        <v>21</v>
      </c>
      <c r="B22" t="s">
        <v>143</v>
      </c>
      <c r="C22" t="s">
        <v>2557</v>
      </c>
    </row>
    <row r="23" spans="1:3" x14ac:dyDescent="0.25">
      <c r="A23">
        <v>22</v>
      </c>
      <c r="B23" t="s">
        <v>143</v>
      </c>
      <c r="C23" t="s">
        <v>2558</v>
      </c>
    </row>
    <row r="24" spans="1:3" x14ac:dyDescent="0.25">
      <c r="A24">
        <v>23</v>
      </c>
      <c r="B24" t="s">
        <v>143</v>
      </c>
      <c r="C24" t="s">
        <v>2559</v>
      </c>
    </row>
    <row r="25" spans="1:3" x14ac:dyDescent="0.25">
      <c r="A25">
        <v>24</v>
      </c>
      <c r="B25" t="s">
        <v>143</v>
      </c>
      <c r="C25" t="s">
        <v>2560</v>
      </c>
    </row>
    <row r="26" spans="1:3" x14ac:dyDescent="0.25">
      <c r="A26">
        <v>25</v>
      </c>
      <c r="B26" t="s">
        <v>143</v>
      </c>
      <c r="C26" t="s">
        <v>2561</v>
      </c>
    </row>
    <row r="27" spans="1:3" x14ac:dyDescent="0.25">
      <c r="A27">
        <v>26</v>
      </c>
      <c r="B27" t="s">
        <v>143</v>
      </c>
      <c r="C27" t="s">
        <v>2562</v>
      </c>
    </row>
    <row r="28" spans="1:3" x14ac:dyDescent="0.25">
      <c r="A28">
        <v>27</v>
      </c>
      <c r="B28" t="s">
        <v>143</v>
      </c>
      <c r="C28" t="s">
        <v>2563</v>
      </c>
    </row>
    <row r="29" spans="1:3" x14ac:dyDescent="0.25">
      <c r="A29">
        <v>28</v>
      </c>
      <c r="B29" t="s">
        <v>143</v>
      </c>
      <c r="C29" t="s">
        <v>2564</v>
      </c>
    </row>
    <row r="30" spans="1:3" x14ac:dyDescent="0.25">
      <c r="A30">
        <v>29</v>
      </c>
      <c r="B30" t="s">
        <v>143</v>
      </c>
      <c r="C30" t="s">
        <v>2565</v>
      </c>
    </row>
    <row r="31" spans="1:3" x14ac:dyDescent="0.25">
      <c r="A31">
        <v>30</v>
      </c>
      <c r="B31" t="s">
        <v>143</v>
      </c>
      <c r="C31" t="s">
        <v>2566</v>
      </c>
    </row>
    <row r="32" spans="1:3" x14ac:dyDescent="0.25">
      <c r="A32">
        <v>31</v>
      </c>
      <c r="B32" t="s">
        <v>143</v>
      </c>
      <c r="C32" t="s">
        <v>2567</v>
      </c>
    </row>
    <row r="33" spans="1:3" x14ac:dyDescent="0.25">
      <c r="A33">
        <v>32</v>
      </c>
      <c r="B33" t="s">
        <v>143</v>
      </c>
      <c r="C33" t="s">
        <v>2568</v>
      </c>
    </row>
    <row r="34" spans="1:3" x14ac:dyDescent="0.25">
      <c r="A34">
        <v>33</v>
      </c>
      <c r="B34" t="s">
        <v>143</v>
      </c>
      <c r="C34" t="s">
        <v>2569</v>
      </c>
    </row>
    <row r="35" spans="1:3" x14ac:dyDescent="0.25">
      <c r="A35">
        <v>34</v>
      </c>
      <c r="B35" t="s">
        <v>143</v>
      </c>
      <c r="C35" t="s">
        <v>2570</v>
      </c>
    </row>
    <row r="36" spans="1:3" x14ac:dyDescent="0.25">
      <c r="A36">
        <v>35</v>
      </c>
      <c r="B36" t="s">
        <v>143</v>
      </c>
      <c r="C36" t="s">
        <v>2571</v>
      </c>
    </row>
    <row r="37" spans="1:3" x14ac:dyDescent="0.25">
      <c r="A37">
        <v>36</v>
      </c>
      <c r="B37" t="s">
        <v>143</v>
      </c>
      <c r="C37" t="s">
        <v>2572</v>
      </c>
    </row>
    <row r="38" spans="1:3" x14ac:dyDescent="0.25">
      <c r="A38">
        <v>37</v>
      </c>
      <c r="B38" t="s">
        <v>143</v>
      </c>
      <c r="C38" t="s">
        <v>2573</v>
      </c>
    </row>
    <row r="39" spans="1:3" x14ac:dyDescent="0.25">
      <c r="A39">
        <v>38</v>
      </c>
      <c r="B39" t="s">
        <v>143</v>
      </c>
      <c r="C39" t="s">
        <v>2574</v>
      </c>
    </row>
    <row r="40" spans="1:3" x14ac:dyDescent="0.25">
      <c r="A40">
        <v>39</v>
      </c>
      <c r="B40" t="s">
        <v>143</v>
      </c>
      <c r="C40" t="s">
        <v>2575</v>
      </c>
    </row>
    <row r="41" spans="1:3" x14ac:dyDescent="0.25">
      <c r="A41">
        <v>40</v>
      </c>
      <c r="B41" t="s">
        <v>143</v>
      </c>
      <c r="C41" t="s">
        <v>2576</v>
      </c>
    </row>
    <row r="42" spans="1:3" x14ac:dyDescent="0.25">
      <c r="A42">
        <v>41</v>
      </c>
      <c r="B42" t="s">
        <v>143</v>
      </c>
      <c r="C42" t="s">
        <v>2577</v>
      </c>
    </row>
    <row r="43" spans="1:3" x14ac:dyDescent="0.25">
      <c r="A43">
        <v>42</v>
      </c>
      <c r="B43" t="s">
        <v>143</v>
      </c>
      <c r="C43" t="s">
        <v>2578</v>
      </c>
    </row>
    <row r="44" spans="1:3" x14ac:dyDescent="0.25">
      <c r="A44">
        <v>43</v>
      </c>
      <c r="B44" t="s">
        <v>143</v>
      </c>
      <c r="C44" t="s">
        <v>2579</v>
      </c>
    </row>
    <row r="45" spans="1:3" x14ac:dyDescent="0.25">
      <c r="A45">
        <v>44</v>
      </c>
      <c r="B45" t="s">
        <v>143</v>
      </c>
      <c r="C45" t="s">
        <v>2580</v>
      </c>
    </row>
    <row r="46" spans="1:3" x14ac:dyDescent="0.25">
      <c r="A46">
        <v>45</v>
      </c>
      <c r="B46" t="s">
        <v>143</v>
      </c>
      <c r="C46" t="s">
        <v>2581</v>
      </c>
    </row>
    <row r="47" spans="1:3" x14ac:dyDescent="0.25">
      <c r="A47">
        <v>46</v>
      </c>
      <c r="B47" t="s">
        <v>143</v>
      </c>
      <c r="C47" t="s">
        <v>2582</v>
      </c>
    </row>
    <row r="48" spans="1:3" x14ac:dyDescent="0.25">
      <c r="A48">
        <v>47</v>
      </c>
      <c r="B48" t="s">
        <v>143</v>
      </c>
      <c r="C48" t="s">
        <v>2583</v>
      </c>
    </row>
    <row r="49" spans="1:3" x14ac:dyDescent="0.25">
      <c r="A49">
        <v>48</v>
      </c>
      <c r="B49" t="s">
        <v>143</v>
      </c>
      <c r="C49" t="s">
        <v>2584</v>
      </c>
    </row>
    <row r="50" spans="1:3" x14ac:dyDescent="0.25">
      <c r="A50">
        <v>49</v>
      </c>
      <c r="B50" t="s">
        <v>143</v>
      </c>
      <c r="C50" t="s">
        <v>2585</v>
      </c>
    </row>
    <row r="51" spans="1:3" x14ac:dyDescent="0.25">
      <c r="A51">
        <v>50</v>
      </c>
      <c r="B51" t="s">
        <v>143</v>
      </c>
      <c r="C51" t="s">
        <v>2586</v>
      </c>
    </row>
    <row r="52" spans="1:3" x14ac:dyDescent="0.25">
      <c r="A52">
        <v>51</v>
      </c>
      <c r="B52" t="s">
        <v>143</v>
      </c>
      <c r="C52" t="s">
        <v>2587</v>
      </c>
    </row>
    <row r="53" spans="1:3" x14ac:dyDescent="0.25">
      <c r="A53">
        <v>52</v>
      </c>
      <c r="B53" t="s">
        <v>143</v>
      </c>
      <c r="C53" t="s">
        <v>2588</v>
      </c>
    </row>
    <row r="54" spans="1:3" x14ac:dyDescent="0.25">
      <c r="A54">
        <v>53</v>
      </c>
      <c r="B54" t="s">
        <v>143</v>
      </c>
      <c r="C54" t="s">
        <v>2589</v>
      </c>
    </row>
    <row r="55" spans="1:3" x14ac:dyDescent="0.25">
      <c r="A55">
        <v>54</v>
      </c>
      <c r="B55" t="s">
        <v>143</v>
      </c>
      <c r="C55" t="s">
        <v>2590</v>
      </c>
    </row>
    <row r="56" spans="1:3" x14ac:dyDescent="0.25">
      <c r="A56">
        <v>55</v>
      </c>
      <c r="B56" t="s">
        <v>143</v>
      </c>
      <c r="C56" t="s">
        <v>2591</v>
      </c>
    </row>
    <row r="57" spans="1:3" x14ac:dyDescent="0.25">
      <c r="A57">
        <v>56</v>
      </c>
      <c r="B57" t="s">
        <v>143</v>
      </c>
      <c r="C57" t="s">
        <v>2592</v>
      </c>
    </row>
    <row r="58" spans="1:3" x14ac:dyDescent="0.25">
      <c r="A58">
        <v>57</v>
      </c>
      <c r="B58" t="s">
        <v>143</v>
      </c>
      <c r="C58" t="s">
        <v>2593</v>
      </c>
    </row>
    <row r="59" spans="1:3" x14ac:dyDescent="0.25">
      <c r="A59">
        <v>58</v>
      </c>
      <c r="B59" t="s">
        <v>143</v>
      </c>
      <c r="C59" t="s">
        <v>2594</v>
      </c>
    </row>
    <row r="60" spans="1:3" x14ac:dyDescent="0.25">
      <c r="A60">
        <v>59</v>
      </c>
      <c r="B60" t="s">
        <v>143</v>
      </c>
      <c r="C60" t="s">
        <v>2595</v>
      </c>
    </row>
    <row r="61" spans="1:3" x14ac:dyDescent="0.25">
      <c r="A61">
        <v>60</v>
      </c>
      <c r="B61" t="s">
        <v>143</v>
      </c>
      <c r="C61" t="s">
        <v>2596</v>
      </c>
    </row>
    <row r="62" spans="1:3" x14ac:dyDescent="0.25">
      <c r="A62">
        <v>61</v>
      </c>
      <c r="B62" t="s">
        <v>143</v>
      </c>
      <c r="C62" t="s">
        <v>2597</v>
      </c>
    </row>
    <row r="63" spans="1:3" x14ac:dyDescent="0.25">
      <c r="A63">
        <v>62</v>
      </c>
      <c r="B63" t="s">
        <v>143</v>
      </c>
      <c r="C63" t="s">
        <v>2598</v>
      </c>
    </row>
    <row r="64" spans="1:3" x14ac:dyDescent="0.25">
      <c r="A64">
        <v>63</v>
      </c>
      <c r="B64" t="s">
        <v>143</v>
      </c>
      <c r="C64" t="s">
        <v>2599</v>
      </c>
    </row>
    <row r="65" spans="1:3" x14ac:dyDescent="0.25">
      <c r="A65">
        <v>64</v>
      </c>
      <c r="B65" t="s">
        <v>2807</v>
      </c>
      <c r="C65" t="s">
        <v>2600</v>
      </c>
    </row>
    <row r="66" spans="1:3" x14ac:dyDescent="0.25">
      <c r="A66">
        <v>65</v>
      </c>
      <c r="B66" t="s">
        <v>143</v>
      </c>
      <c r="C66" t="s">
        <v>2601</v>
      </c>
    </row>
    <row r="67" spans="1:3" x14ac:dyDescent="0.25">
      <c r="A67">
        <v>66</v>
      </c>
      <c r="B67" t="s">
        <v>2833</v>
      </c>
      <c r="C67" t="s">
        <v>2602</v>
      </c>
    </row>
    <row r="68" spans="1:3" x14ac:dyDescent="0.25">
      <c r="A68">
        <v>67</v>
      </c>
      <c r="B68" t="s">
        <v>143</v>
      </c>
      <c r="C68" t="s">
        <v>2603</v>
      </c>
    </row>
    <row r="69" spans="1:3" x14ac:dyDescent="0.25">
      <c r="A69">
        <v>68</v>
      </c>
      <c r="B69" t="s">
        <v>143</v>
      </c>
      <c r="C69" t="s">
        <v>2604</v>
      </c>
    </row>
    <row r="70" spans="1:3" x14ac:dyDescent="0.25">
      <c r="A70">
        <v>69</v>
      </c>
      <c r="B70" t="s">
        <v>143</v>
      </c>
      <c r="C70" t="s">
        <v>2605</v>
      </c>
    </row>
    <row r="71" spans="1:3" x14ac:dyDescent="0.25">
      <c r="A71">
        <v>70</v>
      </c>
      <c r="B71" t="s">
        <v>143</v>
      </c>
      <c r="C71" t="s">
        <v>2606</v>
      </c>
    </row>
    <row r="72" spans="1:3" x14ac:dyDescent="0.25">
      <c r="A72">
        <v>71</v>
      </c>
      <c r="B72" t="s">
        <v>2805</v>
      </c>
      <c r="C72" t="s">
        <v>2607</v>
      </c>
    </row>
    <row r="73" spans="1:3" x14ac:dyDescent="0.25">
      <c r="A73">
        <v>72</v>
      </c>
      <c r="B73" t="s">
        <v>143</v>
      </c>
      <c r="C73" t="s">
        <v>2608</v>
      </c>
    </row>
    <row r="74" spans="1:3" x14ac:dyDescent="0.25">
      <c r="A74">
        <v>73</v>
      </c>
      <c r="B74" t="s">
        <v>2806</v>
      </c>
      <c r="C74" t="s">
        <v>2609</v>
      </c>
    </row>
    <row r="75" spans="1:3" x14ac:dyDescent="0.25">
      <c r="A75">
        <v>74</v>
      </c>
      <c r="B75" t="s">
        <v>143</v>
      </c>
      <c r="C75" t="s">
        <v>2610</v>
      </c>
    </row>
    <row r="76" spans="1:3" x14ac:dyDescent="0.25">
      <c r="A76">
        <v>75</v>
      </c>
      <c r="B76" t="s">
        <v>143</v>
      </c>
      <c r="C76" t="s">
        <v>2611</v>
      </c>
    </row>
    <row r="77" spans="1:3" x14ac:dyDescent="0.25">
      <c r="A77">
        <v>76</v>
      </c>
      <c r="B77" t="s">
        <v>143</v>
      </c>
      <c r="C77" t="s">
        <v>2612</v>
      </c>
    </row>
    <row r="78" spans="1:3" x14ac:dyDescent="0.25">
      <c r="A78">
        <v>77</v>
      </c>
      <c r="B78" t="s">
        <v>143</v>
      </c>
      <c r="C78" t="s">
        <v>2613</v>
      </c>
    </row>
    <row r="79" spans="1:3" x14ac:dyDescent="0.25">
      <c r="A79">
        <v>78</v>
      </c>
      <c r="B79" t="s">
        <v>143</v>
      </c>
      <c r="C79" t="s">
        <v>2614</v>
      </c>
    </row>
    <row r="80" spans="1:3" x14ac:dyDescent="0.25">
      <c r="A80">
        <v>79</v>
      </c>
      <c r="B80" t="s">
        <v>143</v>
      </c>
      <c r="C80" t="s">
        <v>2615</v>
      </c>
    </row>
    <row r="81" spans="1:3" x14ac:dyDescent="0.25">
      <c r="A81">
        <v>80</v>
      </c>
      <c r="B81" t="s">
        <v>143</v>
      </c>
      <c r="C81" t="s">
        <v>2616</v>
      </c>
    </row>
    <row r="82" spans="1:3" x14ac:dyDescent="0.25">
      <c r="A82">
        <v>81</v>
      </c>
      <c r="B82" t="s">
        <v>143</v>
      </c>
      <c r="C82" t="s">
        <v>2617</v>
      </c>
    </row>
    <row r="83" spans="1:3" x14ac:dyDescent="0.25">
      <c r="A83">
        <v>82</v>
      </c>
      <c r="B83" t="s">
        <v>143</v>
      </c>
      <c r="C83" t="s">
        <v>2618</v>
      </c>
    </row>
    <row r="84" spans="1:3" x14ac:dyDescent="0.25">
      <c r="A84">
        <v>83</v>
      </c>
      <c r="B84" t="s">
        <v>143</v>
      </c>
      <c r="C84" t="s">
        <v>2619</v>
      </c>
    </row>
    <row r="85" spans="1:3" x14ac:dyDescent="0.25">
      <c r="A85">
        <v>84</v>
      </c>
      <c r="B85" t="s">
        <v>143</v>
      </c>
      <c r="C85" t="s">
        <v>2620</v>
      </c>
    </row>
    <row r="86" spans="1:3" x14ac:dyDescent="0.25">
      <c r="A86">
        <v>85</v>
      </c>
      <c r="B86" t="s">
        <v>143</v>
      </c>
      <c r="C86" t="s">
        <v>2621</v>
      </c>
    </row>
    <row r="87" spans="1:3" x14ac:dyDescent="0.25">
      <c r="A87">
        <v>86</v>
      </c>
      <c r="B87" t="s">
        <v>143</v>
      </c>
      <c r="C87" t="s">
        <v>2622</v>
      </c>
    </row>
    <row r="88" spans="1:3" x14ac:dyDescent="0.25">
      <c r="A88">
        <v>87</v>
      </c>
      <c r="B88" t="s">
        <v>143</v>
      </c>
      <c r="C88" t="s">
        <v>2623</v>
      </c>
    </row>
    <row r="89" spans="1:3" x14ac:dyDescent="0.25">
      <c r="A89">
        <v>88</v>
      </c>
      <c r="B89" t="s">
        <v>143</v>
      </c>
      <c r="C89" t="s">
        <v>2624</v>
      </c>
    </row>
    <row r="90" spans="1:3" x14ac:dyDescent="0.25">
      <c r="A90">
        <v>89</v>
      </c>
      <c r="B90" t="s">
        <v>143</v>
      </c>
      <c r="C90" t="s">
        <v>2625</v>
      </c>
    </row>
    <row r="91" spans="1:3" x14ac:dyDescent="0.25">
      <c r="A91">
        <v>90</v>
      </c>
      <c r="B91" t="s">
        <v>143</v>
      </c>
      <c r="C91" t="s">
        <v>2626</v>
      </c>
    </row>
    <row r="92" spans="1:3" x14ac:dyDescent="0.25">
      <c r="A92">
        <v>91</v>
      </c>
      <c r="B92" t="s">
        <v>143</v>
      </c>
      <c r="C92" t="s">
        <v>2627</v>
      </c>
    </row>
    <row r="93" spans="1:3" x14ac:dyDescent="0.25">
      <c r="A93">
        <v>92</v>
      </c>
      <c r="B93" t="s">
        <v>143</v>
      </c>
      <c r="C93" t="s">
        <v>2628</v>
      </c>
    </row>
    <row r="94" spans="1:3" x14ac:dyDescent="0.25">
      <c r="A94">
        <v>93</v>
      </c>
      <c r="B94" t="s">
        <v>143</v>
      </c>
      <c r="C94" t="s">
        <v>2629</v>
      </c>
    </row>
    <row r="95" spans="1:3" x14ac:dyDescent="0.25">
      <c r="A95">
        <v>94</v>
      </c>
      <c r="B95" t="s">
        <v>143</v>
      </c>
      <c r="C95" t="s">
        <v>2630</v>
      </c>
    </row>
    <row r="96" spans="1:3" x14ac:dyDescent="0.25">
      <c r="A96">
        <v>95</v>
      </c>
      <c r="B96" t="s">
        <v>143</v>
      </c>
      <c r="C96" t="s">
        <v>2631</v>
      </c>
    </row>
    <row r="97" spans="1:3" x14ac:dyDescent="0.25">
      <c r="A97">
        <v>96</v>
      </c>
      <c r="B97" t="s">
        <v>143</v>
      </c>
      <c r="C97" t="s">
        <v>2632</v>
      </c>
    </row>
    <row r="98" spans="1:3" x14ac:dyDescent="0.25">
      <c r="A98">
        <v>97</v>
      </c>
      <c r="B98" t="s">
        <v>143</v>
      </c>
      <c r="C98" t="s">
        <v>2633</v>
      </c>
    </row>
    <row r="99" spans="1:3" x14ac:dyDescent="0.25">
      <c r="A99">
        <v>98</v>
      </c>
      <c r="B99" t="s">
        <v>143</v>
      </c>
      <c r="C99" t="s">
        <v>2634</v>
      </c>
    </row>
    <row r="100" spans="1:3" x14ac:dyDescent="0.25">
      <c r="A100">
        <v>99</v>
      </c>
      <c r="B100" t="s">
        <v>143</v>
      </c>
      <c r="C100" t="s">
        <v>2635</v>
      </c>
    </row>
    <row r="101" spans="1:3" x14ac:dyDescent="0.25">
      <c r="A101">
        <v>100</v>
      </c>
      <c r="B101" t="s">
        <v>143</v>
      </c>
      <c r="C101" t="s">
        <v>2636</v>
      </c>
    </row>
    <row r="102" spans="1:3" x14ac:dyDescent="0.25">
      <c r="A102">
        <v>101</v>
      </c>
      <c r="B102" t="s">
        <v>143</v>
      </c>
      <c r="C102" t="s">
        <v>2637</v>
      </c>
    </row>
    <row r="103" spans="1:3" x14ac:dyDescent="0.25">
      <c r="A103">
        <v>102</v>
      </c>
      <c r="B103" t="s">
        <v>143</v>
      </c>
      <c r="C103" t="s">
        <v>2638</v>
      </c>
    </row>
    <row r="104" spans="1:3" x14ac:dyDescent="0.25">
      <c r="A104">
        <v>103</v>
      </c>
      <c r="B104" t="s">
        <v>143</v>
      </c>
      <c r="C104" t="s">
        <v>2639</v>
      </c>
    </row>
    <row r="105" spans="1:3" x14ac:dyDescent="0.25">
      <c r="A105">
        <v>104</v>
      </c>
      <c r="B105" t="s">
        <v>143</v>
      </c>
      <c r="C105" t="s">
        <v>2640</v>
      </c>
    </row>
    <row r="106" spans="1:3" x14ac:dyDescent="0.25">
      <c r="A106">
        <v>105</v>
      </c>
      <c r="B106" t="s">
        <v>143</v>
      </c>
      <c r="C106" t="s">
        <v>2641</v>
      </c>
    </row>
    <row r="107" spans="1:3" x14ac:dyDescent="0.25">
      <c r="A107">
        <v>106</v>
      </c>
      <c r="B107" t="s">
        <v>143</v>
      </c>
      <c r="C107" t="s">
        <v>2642</v>
      </c>
    </row>
    <row r="108" spans="1:3" x14ac:dyDescent="0.25">
      <c r="A108">
        <v>107</v>
      </c>
      <c r="B108" t="s">
        <v>143</v>
      </c>
      <c r="C108" t="s">
        <v>2643</v>
      </c>
    </row>
    <row r="109" spans="1:3" x14ac:dyDescent="0.25">
      <c r="A109">
        <v>108</v>
      </c>
      <c r="B109" t="s">
        <v>143</v>
      </c>
      <c r="C109" t="s">
        <v>2644</v>
      </c>
    </row>
    <row r="110" spans="1:3" x14ac:dyDescent="0.25">
      <c r="A110">
        <v>109</v>
      </c>
      <c r="B110" t="s">
        <v>143</v>
      </c>
      <c r="C110" t="s">
        <v>2645</v>
      </c>
    </row>
    <row r="111" spans="1:3" x14ac:dyDescent="0.25">
      <c r="A111">
        <v>110</v>
      </c>
      <c r="B111" t="s">
        <v>143</v>
      </c>
      <c r="C111" t="s">
        <v>2646</v>
      </c>
    </row>
    <row r="112" spans="1:3" x14ac:dyDescent="0.25">
      <c r="A112">
        <v>111</v>
      </c>
      <c r="B112" t="s">
        <v>143</v>
      </c>
      <c r="C112" t="s">
        <v>2647</v>
      </c>
    </row>
    <row r="113" spans="1:3" x14ac:dyDescent="0.25">
      <c r="A113">
        <v>112</v>
      </c>
      <c r="B113" t="s">
        <v>143</v>
      </c>
      <c r="C113" t="s">
        <v>2648</v>
      </c>
    </row>
    <row r="114" spans="1:3" x14ac:dyDescent="0.25">
      <c r="A114">
        <v>113</v>
      </c>
      <c r="B114" t="s">
        <v>143</v>
      </c>
      <c r="C114" t="s">
        <v>2649</v>
      </c>
    </row>
    <row r="115" spans="1:3" x14ac:dyDescent="0.25">
      <c r="A115">
        <v>114</v>
      </c>
      <c r="B115" t="s">
        <v>143</v>
      </c>
      <c r="C115" t="s">
        <v>2650</v>
      </c>
    </row>
    <row r="116" spans="1:3" x14ac:dyDescent="0.25">
      <c r="A116">
        <v>115</v>
      </c>
      <c r="B116" t="s">
        <v>143</v>
      </c>
      <c r="C116" t="s">
        <v>2651</v>
      </c>
    </row>
    <row r="117" spans="1:3" x14ac:dyDescent="0.25">
      <c r="A117">
        <v>116</v>
      </c>
      <c r="B117" t="s">
        <v>143</v>
      </c>
      <c r="C117" t="s">
        <v>2652</v>
      </c>
    </row>
    <row r="118" spans="1:3" x14ac:dyDescent="0.25">
      <c r="A118">
        <v>117</v>
      </c>
      <c r="B118" t="s">
        <v>143</v>
      </c>
      <c r="C118" t="s">
        <v>2653</v>
      </c>
    </row>
    <row r="119" spans="1:3" x14ac:dyDescent="0.25">
      <c r="A119">
        <v>118</v>
      </c>
      <c r="B119" t="s">
        <v>143</v>
      </c>
      <c r="C119" t="s">
        <v>2654</v>
      </c>
    </row>
    <row r="120" spans="1:3" x14ac:dyDescent="0.25">
      <c r="A120">
        <v>119</v>
      </c>
      <c r="B120" t="s">
        <v>143</v>
      </c>
      <c r="C120" t="s">
        <v>2655</v>
      </c>
    </row>
    <row r="121" spans="1:3" x14ac:dyDescent="0.25">
      <c r="A121">
        <v>120</v>
      </c>
      <c r="B121" t="s">
        <v>143</v>
      </c>
      <c r="C121" t="s">
        <v>2656</v>
      </c>
    </row>
    <row r="122" spans="1:3" x14ac:dyDescent="0.25">
      <c r="A122">
        <v>121</v>
      </c>
      <c r="B122" t="s">
        <v>143</v>
      </c>
      <c r="C122" t="s">
        <v>2657</v>
      </c>
    </row>
    <row r="123" spans="1:3" x14ac:dyDescent="0.25">
      <c r="A123">
        <v>122</v>
      </c>
      <c r="B123" t="s">
        <v>143</v>
      </c>
      <c r="C123" t="s">
        <v>2658</v>
      </c>
    </row>
    <row r="124" spans="1:3" x14ac:dyDescent="0.25">
      <c r="A124">
        <v>123</v>
      </c>
      <c r="B124" t="s">
        <v>143</v>
      </c>
      <c r="C124" t="s">
        <v>2659</v>
      </c>
    </row>
    <row r="125" spans="1:3" x14ac:dyDescent="0.25">
      <c r="A125">
        <v>124</v>
      </c>
      <c r="B125" t="s">
        <v>143</v>
      </c>
      <c r="C125" t="s">
        <v>2660</v>
      </c>
    </row>
    <row r="126" spans="1:3" x14ac:dyDescent="0.25">
      <c r="A126">
        <v>125</v>
      </c>
      <c r="B126" t="s">
        <v>143</v>
      </c>
      <c r="C126" t="s">
        <v>2661</v>
      </c>
    </row>
    <row r="127" spans="1:3" x14ac:dyDescent="0.25">
      <c r="A127">
        <v>126</v>
      </c>
      <c r="B127" t="s">
        <v>143</v>
      </c>
      <c r="C127" t="s">
        <v>2662</v>
      </c>
    </row>
    <row r="128" spans="1:3" x14ac:dyDescent="0.25">
      <c r="A128">
        <v>127</v>
      </c>
      <c r="B128" t="s">
        <v>143</v>
      </c>
      <c r="C128" t="s">
        <v>2663</v>
      </c>
    </row>
    <row r="129" spans="1:3" x14ac:dyDescent="0.25">
      <c r="A129">
        <v>128</v>
      </c>
      <c r="B129" t="s">
        <v>143</v>
      </c>
      <c r="C129" t="s">
        <v>2664</v>
      </c>
    </row>
    <row r="130" spans="1:3" x14ac:dyDescent="0.25">
      <c r="A130">
        <v>129</v>
      </c>
      <c r="B130" t="s">
        <v>143</v>
      </c>
      <c r="C130" t="s">
        <v>2665</v>
      </c>
    </row>
    <row r="131" spans="1:3" x14ac:dyDescent="0.25">
      <c r="A131">
        <v>130</v>
      </c>
      <c r="B131" t="s">
        <v>143</v>
      </c>
      <c r="C131" t="s">
        <v>2666</v>
      </c>
    </row>
    <row r="132" spans="1:3" x14ac:dyDescent="0.25">
      <c r="A132">
        <v>131</v>
      </c>
      <c r="B132" t="s">
        <v>143</v>
      </c>
      <c r="C132" t="s">
        <v>2667</v>
      </c>
    </row>
    <row r="133" spans="1:3" x14ac:dyDescent="0.25">
      <c r="A133">
        <v>132</v>
      </c>
      <c r="B133" t="s">
        <v>143</v>
      </c>
      <c r="C133" t="s">
        <v>2668</v>
      </c>
    </row>
    <row r="134" spans="1:3" x14ac:dyDescent="0.25">
      <c r="A134">
        <v>133</v>
      </c>
      <c r="B134" t="s">
        <v>143</v>
      </c>
      <c r="C134" t="s">
        <v>2669</v>
      </c>
    </row>
    <row r="135" spans="1:3" x14ac:dyDescent="0.25">
      <c r="A135">
        <v>134</v>
      </c>
      <c r="B135" t="s">
        <v>143</v>
      </c>
      <c r="C135" t="s">
        <v>2670</v>
      </c>
    </row>
    <row r="136" spans="1:3" x14ac:dyDescent="0.25">
      <c r="A136">
        <v>135</v>
      </c>
      <c r="B136" t="s">
        <v>2770</v>
      </c>
      <c r="C136" t="s">
        <v>2671</v>
      </c>
    </row>
    <row r="137" spans="1:3" x14ac:dyDescent="0.25">
      <c r="A137">
        <v>136</v>
      </c>
      <c r="B137" t="s">
        <v>143</v>
      </c>
      <c r="C137" t="s">
        <v>2672</v>
      </c>
    </row>
    <row r="138" spans="1:3" x14ac:dyDescent="0.25">
      <c r="A138">
        <v>137</v>
      </c>
      <c r="B138" t="s">
        <v>143</v>
      </c>
      <c r="C138" t="s">
        <v>2673</v>
      </c>
    </row>
    <row r="139" spans="1:3" x14ac:dyDescent="0.25">
      <c r="A139">
        <v>138</v>
      </c>
      <c r="B139" t="s">
        <v>143</v>
      </c>
      <c r="C139" t="s">
        <v>2674</v>
      </c>
    </row>
    <row r="140" spans="1:3" x14ac:dyDescent="0.25">
      <c r="A140">
        <v>139</v>
      </c>
      <c r="B140" t="s">
        <v>143</v>
      </c>
      <c r="C140" t="s">
        <v>2675</v>
      </c>
    </row>
    <row r="141" spans="1:3" x14ac:dyDescent="0.25">
      <c r="A141">
        <v>140</v>
      </c>
      <c r="B141" t="s">
        <v>143</v>
      </c>
      <c r="C141" t="s">
        <v>2676</v>
      </c>
    </row>
    <row r="142" spans="1:3" x14ac:dyDescent="0.25">
      <c r="A142">
        <v>141</v>
      </c>
      <c r="B142" t="s">
        <v>143</v>
      </c>
      <c r="C142" t="s">
        <v>2677</v>
      </c>
    </row>
    <row r="143" spans="1:3" x14ac:dyDescent="0.25">
      <c r="A143">
        <v>142</v>
      </c>
      <c r="B143" t="s">
        <v>143</v>
      </c>
      <c r="C143" t="s">
        <v>2678</v>
      </c>
    </row>
    <row r="144" spans="1:3" x14ac:dyDescent="0.25">
      <c r="A144">
        <v>143</v>
      </c>
      <c r="B144" t="s">
        <v>143</v>
      </c>
      <c r="C144" t="s">
        <v>2679</v>
      </c>
    </row>
    <row r="145" spans="1:3" x14ac:dyDescent="0.25">
      <c r="A145">
        <v>144</v>
      </c>
      <c r="B145" t="s">
        <v>143</v>
      </c>
      <c r="C145" t="s">
        <v>2680</v>
      </c>
    </row>
    <row r="146" spans="1:3" x14ac:dyDescent="0.25">
      <c r="A146">
        <v>145</v>
      </c>
      <c r="B146" t="s">
        <v>143</v>
      </c>
      <c r="C146" t="s">
        <v>2681</v>
      </c>
    </row>
    <row r="147" spans="1:3" x14ac:dyDescent="0.25">
      <c r="A147">
        <v>146</v>
      </c>
      <c r="B147" t="s">
        <v>143</v>
      </c>
      <c r="C147" t="s">
        <v>2682</v>
      </c>
    </row>
    <row r="148" spans="1:3" x14ac:dyDescent="0.25">
      <c r="A148">
        <v>147</v>
      </c>
      <c r="B148" t="s">
        <v>143</v>
      </c>
      <c r="C148" t="s">
        <v>2683</v>
      </c>
    </row>
    <row r="149" spans="1:3" x14ac:dyDescent="0.25">
      <c r="A149">
        <v>148</v>
      </c>
      <c r="B149" t="s">
        <v>143</v>
      </c>
      <c r="C149" t="s">
        <v>2684</v>
      </c>
    </row>
    <row r="150" spans="1:3" x14ac:dyDescent="0.25">
      <c r="A150">
        <v>149</v>
      </c>
      <c r="B150" t="s">
        <v>143</v>
      </c>
      <c r="C150" t="s">
        <v>2685</v>
      </c>
    </row>
    <row r="151" spans="1:3" x14ac:dyDescent="0.25">
      <c r="A151">
        <v>150</v>
      </c>
      <c r="B151" t="s">
        <v>143</v>
      </c>
      <c r="C151" t="s">
        <v>2686</v>
      </c>
    </row>
    <row r="152" spans="1:3" x14ac:dyDescent="0.25">
      <c r="A152">
        <v>151</v>
      </c>
      <c r="B152" t="s">
        <v>143</v>
      </c>
      <c r="C152" t="s">
        <v>2687</v>
      </c>
    </row>
    <row r="153" spans="1:3" x14ac:dyDescent="0.25">
      <c r="A153">
        <v>152</v>
      </c>
      <c r="B153" t="s">
        <v>143</v>
      </c>
      <c r="C153" t="s">
        <v>2688</v>
      </c>
    </row>
    <row r="154" spans="1:3" x14ac:dyDescent="0.25">
      <c r="A154">
        <v>153</v>
      </c>
      <c r="B154" t="s">
        <v>143</v>
      </c>
      <c r="C154" t="s">
        <v>2689</v>
      </c>
    </row>
    <row r="155" spans="1:3" x14ac:dyDescent="0.25">
      <c r="A155">
        <v>154</v>
      </c>
      <c r="B155" t="s">
        <v>143</v>
      </c>
      <c r="C155" t="s">
        <v>2690</v>
      </c>
    </row>
    <row r="156" spans="1:3" x14ac:dyDescent="0.25">
      <c r="A156">
        <v>155</v>
      </c>
      <c r="B156" t="s">
        <v>143</v>
      </c>
      <c r="C156" t="s">
        <v>2691</v>
      </c>
    </row>
    <row r="157" spans="1:3" x14ac:dyDescent="0.25">
      <c r="A157">
        <v>156</v>
      </c>
      <c r="B157" t="s">
        <v>143</v>
      </c>
      <c r="C157" t="s">
        <v>2692</v>
      </c>
    </row>
    <row r="158" spans="1:3" x14ac:dyDescent="0.25">
      <c r="A158">
        <v>157</v>
      </c>
      <c r="B158" t="s">
        <v>143</v>
      </c>
      <c r="C158" t="s">
        <v>2693</v>
      </c>
    </row>
    <row r="159" spans="1:3" x14ac:dyDescent="0.25">
      <c r="A159">
        <v>158</v>
      </c>
      <c r="B159" t="s">
        <v>143</v>
      </c>
      <c r="C159" t="s">
        <v>2694</v>
      </c>
    </row>
    <row r="160" spans="1:3" x14ac:dyDescent="0.25">
      <c r="A160">
        <v>159</v>
      </c>
      <c r="B160" t="s">
        <v>143</v>
      </c>
      <c r="C160" t="s">
        <v>2695</v>
      </c>
    </row>
    <row r="161" spans="1:3" x14ac:dyDescent="0.25">
      <c r="A161">
        <v>160</v>
      </c>
      <c r="B161" t="s">
        <v>143</v>
      </c>
      <c r="C161" t="s">
        <v>2696</v>
      </c>
    </row>
    <row r="162" spans="1:3" x14ac:dyDescent="0.25">
      <c r="A162">
        <v>161</v>
      </c>
      <c r="B162" t="s">
        <v>143</v>
      </c>
      <c r="C162" t="s">
        <v>2697</v>
      </c>
    </row>
    <row r="163" spans="1:3" x14ac:dyDescent="0.25">
      <c r="A163">
        <v>162</v>
      </c>
      <c r="B163" t="s">
        <v>143</v>
      </c>
      <c r="C163" t="s">
        <v>2698</v>
      </c>
    </row>
    <row r="164" spans="1:3" x14ac:dyDescent="0.25">
      <c r="A164">
        <v>163</v>
      </c>
      <c r="B164" t="s">
        <v>143</v>
      </c>
      <c r="C164" t="s">
        <v>2699</v>
      </c>
    </row>
    <row r="165" spans="1:3" x14ac:dyDescent="0.25">
      <c r="A165">
        <v>164</v>
      </c>
      <c r="B165" t="s">
        <v>143</v>
      </c>
      <c r="C165" t="s">
        <v>2700</v>
      </c>
    </row>
    <row r="166" spans="1:3" x14ac:dyDescent="0.25">
      <c r="A166">
        <v>165</v>
      </c>
      <c r="B166" t="s">
        <v>143</v>
      </c>
      <c r="C166" t="s">
        <v>2701</v>
      </c>
    </row>
    <row r="167" spans="1:3" x14ac:dyDescent="0.25">
      <c r="A167">
        <v>166</v>
      </c>
      <c r="B167" t="s">
        <v>143</v>
      </c>
      <c r="C167" t="s">
        <v>2702</v>
      </c>
    </row>
    <row r="168" spans="1:3" x14ac:dyDescent="0.25">
      <c r="A168">
        <v>167</v>
      </c>
      <c r="B168" t="s">
        <v>143</v>
      </c>
      <c r="C168" t="s">
        <v>2703</v>
      </c>
    </row>
    <row r="169" spans="1:3" x14ac:dyDescent="0.25">
      <c r="A169">
        <v>168</v>
      </c>
      <c r="B169" t="s">
        <v>143</v>
      </c>
      <c r="C169" t="s">
        <v>2704</v>
      </c>
    </row>
    <row r="170" spans="1:3" x14ac:dyDescent="0.25">
      <c r="A170">
        <v>169</v>
      </c>
      <c r="B170" t="s">
        <v>143</v>
      </c>
      <c r="C170" t="s">
        <v>2705</v>
      </c>
    </row>
    <row r="171" spans="1:3" x14ac:dyDescent="0.25">
      <c r="A171">
        <v>170</v>
      </c>
      <c r="B171" t="s">
        <v>143</v>
      </c>
      <c r="C171" t="s">
        <v>2706</v>
      </c>
    </row>
    <row r="172" spans="1:3" x14ac:dyDescent="0.25">
      <c r="A172">
        <v>171</v>
      </c>
      <c r="B172" t="s">
        <v>143</v>
      </c>
      <c r="C172" t="s">
        <v>2707</v>
      </c>
    </row>
    <row r="173" spans="1:3" x14ac:dyDescent="0.25">
      <c r="A173">
        <v>172</v>
      </c>
      <c r="B173" t="s">
        <v>143</v>
      </c>
      <c r="C173" t="s">
        <v>2708</v>
      </c>
    </row>
    <row r="174" spans="1:3" x14ac:dyDescent="0.25">
      <c r="A174">
        <v>173</v>
      </c>
      <c r="B174" t="s">
        <v>143</v>
      </c>
      <c r="C174" t="s">
        <v>2709</v>
      </c>
    </row>
    <row r="175" spans="1:3" x14ac:dyDescent="0.25">
      <c r="A175">
        <v>174</v>
      </c>
      <c r="B175" t="s">
        <v>143</v>
      </c>
      <c r="C175" t="s">
        <v>2710</v>
      </c>
    </row>
    <row r="176" spans="1:3" x14ac:dyDescent="0.25">
      <c r="A176">
        <v>175</v>
      </c>
      <c r="B176" t="s">
        <v>143</v>
      </c>
      <c r="C176" t="s">
        <v>2711</v>
      </c>
    </row>
    <row r="177" spans="1:3" x14ac:dyDescent="0.25">
      <c r="A177">
        <v>176</v>
      </c>
      <c r="B177" t="s">
        <v>143</v>
      </c>
      <c r="C177" t="s">
        <v>2712</v>
      </c>
    </row>
    <row r="178" spans="1:3" x14ac:dyDescent="0.25">
      <c r="A178">
        <v>177</v>
      </c>
      <c r="B178" t="s">
        <v>143</v>
      </c>
      <c r="C178" t="s">
        <v>2713</v>
      </c>
    </row>
    <row r="179" spans="1:3" x14ac:dyDescent="0.25">
      <c r="A179">
        <v>178</v>
      </c>
      <c r="B179" t="s">
        <v>143</v>
      </c>
      <c r="C179" t="s">
        <v>2714</v>
      </c>
    </row>
    <row r="180" spans="1:3" x14ac:dyDescent="0.25">
      <c r="A180">
        <v>179</v>
      </c>
      <c r="B180" t="s">
        <v>143</v>
      </c>
      <c r="C180" t="s">
        <v>2715</v>
      </c>
    </row>
    <row r="181" spans="1:3" x14ac:dyDescent="0.25">
      <c r="A181">
        <v>180</v>
      </c>
      <c r="B181" t="s">
        <v>143</v>
      </c>
      <c r="C181" t="s">
        <v>2716</v>
      </c>
    </row>
    <row r="182" spans="1:3" x14ac:dyDescent="0.25">
      <c r="A182">
        <v>181</v>
      </c>
      <c r="B182" t="s">
        <v>143</v>
      </c>
      <c r="C182" t="s">
        <v>2717</v>
      </c>
    </row>
    <row r="183" spans="1:3" x14ac:dyDescent="0.25">
      <c r="A183">
        <v>182</v>
      </c>
      <c r="B183" t="s">
        <v>143</v>
      </c>
      <c r="C183" t="s">
        <v>2718</v>
      </c>
    </row>
    <row r="184" spans="1:3" x14ac:dyDescent="0.25">
      <c r="A184">
        <v>183</v>
      </c>
      <c r="B184" t="s">
        <v>143</v>
      </c>
      <c r="C184" t="s">
        <v>2719</v>
      </c>
    </row>
    <row r="185" spans="1:3" x14ac:dyDescent="0.25">
      <c r="A185">
        <v>184</v>
      </c>
      <c r="B185" t="s">
        <v>143</v>
      </c>
      <c r="C185" t="s">
        <v>2720</v>
      </c>
    </row>
    <row r="186" spans="1:3" x14ac:dyDescent="0.25">
      <c r="A186">
        <v>185</v>
      </c>
      <c r="B186" t="s">
        <v>143</v>
      </c>
      <c r="C186" t="s">
        <v>2721</v>
      </c>
    </row>
    <row r="187" spans="1:3" x14ac:dyDescent="0.25">
      <c r="A187">
        <v>186</v>
      </c>
      <c r="B187" t="s">
        <v>143</v>
      </c>
      <c r="C187" t="s">
        <v>2722</v>
      </c>
    </row>
    <row r="188" spans="1:3" x14ac:dyDescent="0.25">
      <c r="A188">
        <v>187</v>
      </c>
      <c r="B188" t="s">
        <v>143</v>
      </c>
      <c r="C188" t="s">
        <v>2723</v>
      </c>
    </row>
    <row r="189" spans="1:3" x14ac:dyDescent="0.25">
      <c r="A189">
        <v>188</v>
      </c>
      <c r="B189" t="s">
        <v>143</v>
      </c>
      <c r="C189" t="s">
        <v>2724</v>
      </c>
    </row>
    <row r="190" spans="1:3" x14ac:dyDescent="0.25">
      <c r="A190">
        <v>189</v>
      </c>
      <c r="B190" t="s">
        <v>143</v>
      </c>
      <c r="C190" t="s">
        <v>2725</v>
      </c>
    </row>
    <row r="191" spans="1:3" x14ac:dyDescent="0.25">
      <c r="A191">
        <v>190</v>
      </c>
      <c r="B191" t="s">
        <v>143</v>
      </c>
      <c r="C191" t="s">
        <v>2726</v>
      </c>
    </row>
    <row r="192" spans="1:3" x14ac:dyDescent="0.25">
      <c r="A192">
        <v>191</v>
      </c>
      <c r="B192" t="s">
        <v>143</v>
      </c>
      <c r="C192" t="s">
        <v>2727</v>
      </c>
    </row>
    <row r="193" spans="1:3" x14ac:dyDescent="0.25">
      <c r="A193">
        <v>192</v>
      </c>
      <c r="B193" t="s">
        <v>143</v>
      </c>
      <c r="C193" t="s">
        <v>2728</v>
      </c>
    </row>
    <row r="194" spans="1:3" x14ac:dyDescent="0.25">
      <c r="A194">
        <v>193</v>
      </c>
      <c r="B194" t="s">
        <v>143</v>
      </c>
      <c r="C194" t="s">
        <v>2729</v>
      </c>
    </row>
    <row r="195" spans="1:3" x14ac:dyDescent="0.25">
      <c r="A195">
        <v>194</v>
      </c>
      <c r="B195" t="s">
        <v>143</v>
      </c>
      <c r="C195" t="s">
        <v>2730</v>
      </c>
    </row>
    <row r="196" spans="1:3" x14ac:dyDescent="0.25">
      <c r="A196">
        <v>195</v>
      </c>
      <c r="B196" t="s">
        <v>143</v>
      </c>
      <c r="C196" t="s">
        <v>2731</v>
      </c>
    </row>
    <row r="197" spans="1:3" x14ac:dyDescent="0.25">
      <c r="A197">
        <v>196</v>
      </c>
      <c r="B197" t="s">
        <v>143</v>
      </c>
      <c r="C197" t="s">
        <v>2732</v>
      </c>
    </row>
    <row r="198" spans="1:3" x14ac:dyDescent="0.25">
      <c r="A198">
        <v>197</v>
      </c>
      <c r="B198" t="s">
        <v>143</v>
      </c>
      <c r="C198" t="s">
        <v>2733</v>
      </c>
    </row>
    <row r="199" spans="1:3" x14ac:dyDescent="0.25">
      <c r="A199">
        <v>198</v>
      </c>
      <c r="B199" t="s">
        <v>143</v>
      </c>
      <c r="C199" t="s">
        <v>2734</v>
      </c>
    </row>
    <row r="200" spans="1:3" x14ac:dyDescent="0.25">
      <c r="A200">
        <v>199</v>
      </c>
      <c r="B200" t="s">
        <v>143</v>
      </c>
      <c r="C200" t="s">
        <v>2735</v>
      </c>
    </row>
    <row r="201" spans="1:3" x14ac:dyDescent="0.25">
      <c r="A201">
        <v>200</v>
      </c>
      <c r="B201" t="s">
        <v>143</v>
      </c>
      <c r="C201" t="s">
        <v>2736</v>
      </c>
    </row>
    <row r="202" spans="1:3" x14ac:dyDescent="0.25">
      <c r="A202">
        <v>201</v>
      </c>
      <c r="B202" t="s">
        <v>143</v>
      </c>
      <c r="C202" t="s">
        <v>2737</v>
      </c>
    </row>
    <row r="203" spans="1:3" x14ac:dyDescent="0.25">
      <c r="A203">
        <v>202</v>
      </c>
      <c r="B203" t="s">
        <v>143</v>
      </c>
      <c r="C203" t="s">
        <v>2738</v>
      </c>
    </row>
    <row r="204" spans="1:3" x14ac:dyDescent="0.25">
      <c r="A204">
        <v>203</v>
      </c>
      <c r="B204" t="s">
        <v>143</v>
      </c>
      <c r="C204" t="s">
        <v>2739</v>
      </c>
    </row>
    <row r="205" spans="1:3" x14ac:dyDescent="0.25">
      <c r="A205">
        <v>204</v>
      </c>
      <c r="B205" t="s">
        <v>143</v>
      </c>
      <c r="C205" t="s">
        <v>2740</v>
      </c>
    </row>
    <row r="206" spans="1:3" x14ac:dyDescent="0.25">
      <c r="A206">
        <v>205</v>
      </c>
      <c r="B206" t="s">
        <v>143</v>
      </c>
      <c r="C206" t="s">
        <v>2741</v>
      </c>
    </row>
    <row r="207" spans="1:3" x14ac:dyDescent="0.25">
      <c r="A207">
        <v>206</v>
      </c>
      <c r="B207" t="s">
        <v>143</v>
      </c>
      <c r="C207" t="s">
        <v>2742</v>
      </c>
    </row>
    <row r="208" spans="1:3" x14ac:dyDescent="0.25">
      <c r="A208">
        <v>207</v>
      </c>
      <c r="B208" t="s">
        <v>143</v>
      </c>
      <c r="C208" t="s">
        <v>2743</v>
      </c>
    </row>
    <row r="209" spans="1:3" x14ac:dyDescent="0.25">
      <c r="A209">
        <v>208</v>
      </c>
      <c r="B209" t="s">
        <v>143</v>
      </c>
      <c r="C209" t="s">
        <v>2744</v>
      </c>
    </row>
    <row r="210" spans="1:3" x14ac:dyDescent="0.25">
      <c r="A210">
        <v>209</v>
      </c>
      <c r="B210" t="s">
        <v>143</v>
      </c>
      <c r="C210" t="s">
        <v>2745</v>
      </c>
    </row>
    <row r="211" spans="1:3" x14ac:dyDescent="0.25">
      <c r="A211">
        <v>210</v>
      </c>
      <c r="B211" t="s">
        <v>143</v>
      </c>
      <c r="C211" t="s">
        <v>2746</v>
      </c>
    </row>
    <row r="212" spans="1:3" x14ac:dyDescent="0.25">
      <c r="A212">
        <v>211</v>
      </c>
      <c r="B212" t="s">
        <v>143</v>
      </c>
      <c r="C212" t="s">
        <v>2747</v>
      </c>
    </row>
    <row r="213" spans="1:3" x14ac:dyDescent="0.25">
      <c r="A213">
        <v>212</v>
      </c>
      <c r="B213" t="s">
        <v>143</v>
      </c>
      <c r="C213" t="s">
        <v>2748</v>
      </c>
    </row>
    <row r="214" spans="1:3" x14ac:dyDescent="0.25">
      <c r="A214">
        <v>213</v>
      </c>
      <c r="B214" t="s">
        <v>143</v>
      </c>
      <c r="C214" t="s">
        <v>2749</v>
      </c>
    </row>
    <row r="215" spans="1:3" x14ac:dyDescent="0.25">
      <c r="A215">
        <v>214</v>
      </c>
      <c r="B215" t="s">
        <v>143</v>
      </c>
      <c r="C215" t="s">
        <v>2750</v>
      </c>
    </row>
    <row r="216" spans="1:3" x14ac:dyDescent="0.25">
      <c r="A216">
        <v>215</v>
      </c>
      <c r="B216" t="s">
        <v>143</v>
      </c>
      <c r="C216" t="s">
        <v>2751</v>
      </c>
    </row>
    <row r="217" spans="1:3" x14ac:dyDescent="0.25">
      <c r="A217">
        <v>216</v>
      </c>
      <c r="B217" t="s">
        <v>143</v>
      </c>
      <c r="C217" t="s">
        <v>2752</v>
      </c>
    </row>
    <row r="218" spans="1:3" x14ac:dyDescent="0.25">
      <c r="A218">
        <v>217</v>
      </c>
      <c r="B218" t="s">
        <v>143</v>
      </c>
      <c r="C218" t="s">
        <v>2753</v>
      </c>
    </row>
    <row r="219" spans="1:3" x14ac:dyDescent="0.25">
      <c r="A219">
        <v>218</v>
      </c>
      <c r="B219" t="s">
        <v>143</v>
      </c>
      <c r="C219" t="s">
        <v>2754</v>
      </c>
    </row>
    <row r="220" spans="1:3" x14ac:dyDescent="0.25">
      <c r="A220">
        <v>219</v>
      </c>
      <c r="B220" t="s">
        <v>143</v>
      </c>
      <c r="C220" t="s">
        <v>2755</v>
      </c>
    </row>
    <row r="221" spans="1:3" x14ac:dyDescent="0.25">
      <c r="A221">
        <v>220</v>
      </c>
      <c r="B221" t="s">
        <v>143</v>
      </c>
      <c r="C221" t="s">
        <v>2756</v>
      </c>
    </row>
    <row r="222" spans="1:3" x14ac:dyDescent="0.25">
      <c r="A222">
        <v>221</v>
      </c>
      <c r="B222" t="s">
        <v>143</v>
      </c>
      <c r="C222" t="s">
        <v>2757</v>
      </c>
    </row>
    <row r="223" spans="1:3" x14ac:dyDescent="0.25">
      <c r="A223">
        <v>222</v>
      </c>
      <c r="B223" t="s">
        <v>143</v>
      </c>
      <c r="C223" t="s">
        <v>2758</v>
      </c>
    </row>
    <row r="224" spans="1:3" x14ac:dyDescent="0.25">
      <c r="A224">
        <v>223</v>
      </c>
      <c r="B224" t="s">
        <v>143</v>
      </c>
      <c r="C224" t="s">
        <v>2759</v>
      </c>
    </row>
    <row r="225" spans="1:3" x14ac:dyDescent="0.25">
      <c r="A225">
        <v>224</v>
      </c>
      <c r="B225" t="s">
        <v>143</v>
      </c>
      <c r="C225" t="s">
        <v>2760</v>
      </c>
    </row>
    <row r="226" spans="1:3" x14ac:dyDescent="0.25">
      <c r="A226">
        <v>225</v>
      </c>
      <c r="B226" t="s">
        <v>143</v>
      </c>
      <c r="C226" t="s">
        <v>2761</v>
      </c>
    </row>
    <row r="227" spans="1:3" x14ac:dyDescent="0.25">
      <c r="A227">
        <v>226</v>
      </c>
      <c r="B227" t="s">
        <v>143</v>
      </c>
      <c r="C227" t="s">
        <v>2762</v>
      </c>
    </row>
    <row r="228" spans="1:3" x14ac:dyDescent="0.25">
      <c r="A228">
        <v>227</v>
      </c>
      <c r="B228" t="s">
        <v>143</v>
      </c>
      <c r="C228" t="s">
        <v>2763</v>
      </c>
    </row>
    <row r="229" spans="1:3" x14ac:dyDescent="0.25">
      <c r="A229">
        <v>228</v>
      </c>
      <c r="B229" t="s">
        <v>143</v>
      </c>
      <c r="C229" t="s">
        <v>2764</v>
      </c>
    </row>
    <row r="230" spans="1:3" x14ac:dyDescent="0.25">
      <c r="A230">
        <v>229</v>
      </c>
      <c r="B230" t="s">
        <v>143</v>
      </c>
      <c r="C230" t="s">
        <v>2765</v>
      </c>
    </row>
    <row r="231" spans="1:3" x14ac:dyDescent="0.25">
      <c r="A231">
        <v>230</v>
      </c>
      <c r="B231" t="s">
        <v>143</v>
      </c>
      <c r="C231" t="s">
        <v>2766</v>
      </c>
    </row>
    <row r="232" spans="1:3" x14ac:dyDescent="0.25">
      <c r="A232">
        <v>231</v>
      </c>
      <c r="B232" t="s">
        <v>143</v>
      </c>
      <c r="C232" t="s">
        <v>2767</v>
      </c>
    </row>
    <row r="233" spans="1:3" x14ac:dyDescent="0.25">
      <c r="A233">
        <v>232</v>
      </c>
      <c r="B233" t="s">
        <v>143</v>
      </c>
      <c r="C233" t="s">
        <v>2768</v>
      </c>
    </row>
    <row r="234" spans="1:3" x14ac:dyDescent="0.25">
      <c r="A234">
        <v>233</v>
      </c>
      <c r="B234" t="s">
        <v>143</v>
      </c>
      <c r="C234" t="s">
        <v>2769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7"/>
  <dimension ref="A1:H512"/>
  <sheetViews>
    <sheetView workbookViewId="0">
      <selection activeCell="G7" sqref="G7"/>
    </sheetView>
  </sheetViews>
  <sheetFormatPr defaultRowHeight="15" x14ac:dyDescent="0.25"/>
  <cols>
    <col min="2" max="2" width="36.28515625" bestFit="1" customWidth="1"/>
    <col min="3" max="3" width="35.28515625" bestFit="1" customWidth="1"/>
    <col min="7" max="7" width="27.28515625" bestFit="1" customWidth="1"/>
    <col min="8" max="8" width="25.7109375" bestFit="1" customWidth="1"/>
  </cols>
  <sheetData>
    <row r="1" spans="1:8" x14ac:dyDescent="0.25">
      <c r="A1">
        <v>0</v>
      </c>
      <c r="B1" t="s">
        <v>143</v>
      </c>
      <c r="C1" t="s">
        <v>144</v>
      </c>
      <c r="F1" t="s">
        <v>651</v>
      </c>
      <c r="G1" t="s">
        <v>652</v>
      </c>
      <c r="H1" t="s">
        <v>653</v>
      </c>
    </row>
    <row r="2" spans="1:8" x14ac:dyDescent="0.25">
      <c r="A2">
        <v>1</v>
      </c>
      <c r="B2" t="s">
        <v>143</v>
      </c>
      <c r="C2" t="s">
        <v>145</v>
      </c>
      <c r="E2">
        <v>0</v>
      </c>
      <c r="F2" t="str">
        <f>DEC2HEX(E2)</f>
        <v>0</v>
      </c>
      <c r="G2" t="str">
        <f>"_osCoreException_c0_"&amp;F2</f>
        <v>_osCoreException_c0_0</v>
      </c>
      <c r="H2" t="s">
        <v>654</v>
      </c>
    </row>
    <row r="3" spans="1:8" x14ac:dyDescent="0.25">
      <c r="A3">
        <v>2</v>
      </c>
      <c r="B3" t="s">
        <v>143</v>
      </c>
      <c r="C3" t="s">
        <v>146</v>
      </c>
      <c r="E3">
        <v>16</v>
      </c>
      <c r="F3" t="str">
        <f t="shared" ref="F3:F33" si="0">DEC2HEX(E3)</f>
        <v>10</v>
      </c>
      <c r="G3" t="str">
        <f t="shared" ref="G3:G33" si="1">"_osCoreException_c0_"&amp;F3</f>
        <v>_osCoreException_c0_10</v>
      </c>
      <c r="H3" t="s">
        <v>655</v>
      </c>
    </row>
    <row r="4" spans="1:8" x14ac:dyDescent="0.25">
      <c r="A4">
        <v>3</v>
      </c>
      <c r="B4" t="s">
        <v>143</v>
      </c>
      <c r="C4" t="s">
        <v>147</v>
      </c>
      <c r="E4">
        <v>32</v>
      </c>
      <c r="F4" t="str">
        <f t="shared" si="0"/>
        <v>20</v>
      </c>
      <c r="G4" t="str">
        <f t="shared" si="1"/>
        <v>_osCoreException_c0_20</v>
      </c>
      <c r="H4" t="s">
        <v>655</v>
      </c>
    </row>
    <row r="5" spans="1:8" x14ac:dyDescent="0.25">
      <c r="A5">
        <v>4</v>
      </c>
      <c r="B5" t="s">
        <v>143</v>
      </c>
      <c r="C5" t="s">
        <v>148</v>
      </c>
      <c r="E5">
        <v>48</v>
      </c>
      <c r="F5" t="str">
        <f t="shared" si="0"/>
        <v>30</v>
      </c>
      <c r="G5" t="str">
        <f t="shared" si="1"/>
        <v>_osCoreException_c0_30</v>
      </c>
      <c r="H5" t="s">
        <v>655</v>
      </c>
    </row>
    <row r="6" spans="1:8" x14ac:dyDescent="0.25">
      <c r="A6">
        <v>5</v>
      </c>
      <c r="B6" t="s">
        <v>143</v>
      </c>
      <c r="C6" t="s">
        <v>149</v>
      </c>
      <c r="E6">
        <v>64</v>
      </c>
      <c r="F6" t="str">
        <f t="shared" si="0"/>
        <v>40</v>
      </c>
      <c r="G6" t="str">
        <f t="shared" si="1"/>
        <v>_osCoreException_c0_40</v>
      </c>
      <c r="H6" t="s">
        <v>655</v>
      </c>
    </row>
    <row r="7" spans="1:8" x14ac:dyDescent="0.25">
      <c r="A7">
        <v>6</v>
      </c>
      <c r="B7" t="s">
        <v>143</v>
      </c>
      <c r="C7" t="s">
        <v>150</v>
      </c>
      <c r="E7">
        <v>80</v>
      </c>
      <c r="F7" t="str">
        <f t="shared" si="0"/>
        <v>50</v>
      </c>
      <c r="G7" t="str">
        <f t="shared" si="1"/>
        <v>_osCoreException_c0_50</v>
      </c>
      <c r="H7" t="s">
        <v>655</v>
      </c>
    </row>
    <row r="8" spans="1:8" x14ac:dyDescent="0.25">
      <c r="A8">
        <v>7</v>
      </c>
      <c r="B8" t="s">
        <v>143</v>
      </c>
      <c r="C8" t="s">
        <v>151</v>
      </c>
      <c r="E8">
        <v>96</v>
      </c>
      <c r="F8" t="str">
        <f t="shared" si="0"/>
        <v>60</v>
      </c>
      <c r="G8" t="str">
        <f t="shared" si="1"/>
        <v>_osCoreException_c0_60</v>
      </c>
      <c r="H8" t="s">
        <v>655</v>
      </c>
    </row>
    <row r="9" spans="1:8" x14ac:dyDescent="0.25">
      <c r="A9">
        <v>8</v>
      </c>
      <c r="B9" t="s">
        <v>143</v>
      </c>
      <c r="C9" t="s">
        <v>152</v>
      </c>
      <c r="E9">
        <v>112</v>
      </c>
      <c r="F9" t="str">
        <f t="shared" si="0"/>
        <v>70</v>
      </c>
      <c r="G9" t="str">
        <f t="shared" si="1"/>
        <v>_osCoreException_c0_70</v>
      </c>
      <c r="H9" t="s">
        <v>655</v>
      </c>
    </row>
    <row r="10" spans="1:8" x14ac:dyDescent="0.25">
      <c r="A10">
        <v>9</v>
      </c>
      <c r="B10" t="s">
        <v>143</v>
      </c>
      <c r="C10" t="s">
        <v>153</v>
      </c>
      <c r="E10">
        <v>128</v>
      </c>
      <c r="F10" t="str">
        <f t="shared" si="0"/>
        <v>80</v>
      </c>
      <c r="G10" t="str">
        <f t="shared" si="1"/>
        <v>_osCoreException_c0_80</v>
      </c>
      <c r="H10" t="s">
        <v>655</v>
      </c>
    </row>
    <row r="11" spans="1:8" x14ac:dyDescent="0.25">
      <c r="A11">
        <v>10</v>
      </c>
      <c r="B11" t="s">
        <v>143</v>
      </c>
      <c r="C11" t="s">
        <v>154</v>
      </c>
      <c r="E11">
        <v>144</v>
      </c>
      <c r="F11" t="str">
        <f t="shared" si="0"/>
        <v>90</v>
      </c>
      <c r="G11" t="str">
        <f t="shared" si="1"/>
        <v>_osCoreException_c0_90</v>
      </c>
      <c r="H11" t="s">
        <v>656</v>
      </c>
    </row>
    <row r="12" spans="1:8" x14ac:dyDescent="0.25">
      <c r="A12">
        <v>11</v>
      </c>
      <c r="B12" t="s">
        <v>143</v>
      </c>
      <c r="C12" t="s">
        <v>155</v>
      </c>
      <c r="E12">
        <v>160</v>
      </c>
      <c r="F12" t="str">
        <f t="shared" si="0"/>
        <v>A0</v>
      </c>
      <c r="G12" t="str">
        <f t="shared" si="1"/>
        <v>_osCoreException_c0_A0</v>
      </c>
      <c r="H12" t="s">
        <v>657</v>
      </c>
    </row>
    <row r="13" spans="1:8" x14ac:dyDescent="0.25">
      <c r="A13">
        <v>12</v>
      </c>
      <c r="B13" t="s">
        <v>143</v>
      </c>
      <c r="C13" t="s">
        <v>156</v>
      </c>
      <c r="E13">
        <v>176</v>
      </c>
      <c r="F13" t="str">
        <f t="shared" si="0"/>
        <v>B0</v>
      </c>
      <c r="G13" t="str">
        <f t="shared" si="1"/>
        <v>_osCoreException_c0_B0</v>
      </c>
      <c r="H13" t="s">
        <v>655</v>
      </c>
    </row>
    <row r="14" spans="1:8" x14ac:dyDescent="0.25">
      <c r="A14">
        <v>13</v>
      </c>
      <c r="B14" t="s">
        <v>143</v>
      </c>
      <c r="C14" t="s">
        <v>157</v>
      </c>
      <c r="E14">
        <v>192</v>
      </c>
      <c r="F14" t="str">
        <f t="shared" si="0"/>
        <v>C0</v>
      </c>
      <c r="G14" t="str">
        <f t="shared" si="1"/>
        <v>_osCoreException_c0_C0</v>
      </c>
      <c r="H14" t="s">
        <v>655</v>
      </c>
    </row>
    <row r="15" spans="1:8" x14ac:dyDescent="0.25">
      <c r="A15">
        <v>14</v>
      </c>
      <c r="B15" t="s">
        <v>143</v>
      </c>
      <c r="C15" t="s">
        <v>158</v>
      </c>
      <c r="E15">
        <v>208</v>
      </c>
      <c r="F15" t="str">
        <f t="shared" si="0"/>
        <v>D0</v>
      </c>
      <c r="G15" t="str">
        <f t="shared" si="1"/>
        <v>_osCoreException_c0_D0</v>
      </c>
      <c r="H15" t="s">
        <v>655</v>
      </c>
    </row>
    <row r="16" spans="1:8" x14ac:dyDescent="0.25">
      <c r="A16">
        <v>15</v>
      </c>
      <c r="B16" t="s">
        <v>143</v>
      </c>
      <c r="C16" t="s">
        <v>1100</v>
      </c>
      <c r="E16">
        <v>224</v>
      </c>
      <c r="F16" t="str">
        <f t="shared" si="0"/>
        <v>E0</v>
      </c>
      <c r="G16" t="str">
        <f t="shared" si="1"/>
        <v>_osCoreException_c0_E0</v>
      </c>
      <c r="H16" t="s">
        <v>655</v>
      </c>
    </row>
    <row r="17" spans="1:8" x14ac:dyDescent="0.25">
      <c r="A17">
        <v>16</v>
      </c>
      <c r="B17" t="s">
        <v>143</v>
      </c>
      <c r="C17" t="s">
        <v>159</v>
      </c>
      <c r="E17">
        <v>240</v>
      </c>
      <c r="F17" t="str">
        <f t="shared" si="0"/>
        <v>F0</v>
      </c>
      <c r="G17" t="str">
        <f t="shared" si="1"/>
        <v>_osCoreException_c0_F0</v>
      </c>
      <c r="H17" t="s">
        <v>655</v>
      </c>
    </row>
    <row r="18" spans="1:8" x14ac:dyDescent="0.25">
      <c r="A18">
        <v>17</v>
      </c>
      <c r="B18" t="s">
        <v>143</v>
      </c>
      <c r="C18" t="s">
        <v>160</v>
      </c>
      <c r="E18">
        <v>256</v>
      </c>
      <c r="F18" t="str">
        <f t="shared" si="0"/>
        <v>100</v>
      </c>
      <c r="G18" t="str">
        <f t="shared" si="1"/>
        <v>_osCoreException_c0_100</v>
      </c>
      <c r="H18" t="s">
        <v>655</v>
      </c>
    </row>
    <row r="19" spans="1:8" x14ac:dyDescent="0.25">
      <c r="A19">
        <v>18</v>
      </c>
      <c r="B19" t="s">
        <v>143</v>
      </c>
      <c r="C19" t="s">
        <v>161</v>
      </c>
      <c r="E19">
        <v>272</v>
      </c>
      <c r="F19" t="str">
        <f t="shared" si="0"/>
        <v>110</v>
      </c>
      <c r="G19" t="str">
        <f t="shared" si="1"/>
        <v>_osCoreException_c0_110</v>
      </c>
      <c r="H19" t="s">
        <v>655</v>
      </c>
    </row>
    <row r="20" spans="1:8" x14ac:dyDescent="0.25">
      <c r="A20">
        <v>19</v>
      </c>
      <c r="B20" t="s">
        <v>143</v>
      </c>
      <c r="C20" t="s">
        <v>162</v>
      </c>
      <c r="E20">
        <v>288</v>
      </c>
      <c r="F20" t="str">
        <f t="shared" si="0"/>
        <v>120</v>
      </c>
      <c r="G20" t="str">
        <f t="shared" si="1"/>
        <v>_osCoreException_c0_120</v>
      </c>
      <c r="H20" t="s">
        <v>655</v>
      </c>
    </row>
    <row r="21" spans="1:8" x14ac:dyDescent="0.25">
      <c r="A21">
        <v>20</v>
      </c>
      <c r="B21" t="s">
        <v>143</v>
      </c>
      <c r="C21" t="s">
        <v>163</v>
      </c>
      <c r="E21">
        <v>304</v>
      </c>
      <c r="F21" t="str">
        <f t="shared" si="0"/>
        <v>130</v>
      </c>
      <c r="G21" t="str">
        <f t="shared" si="1"/>
        <v>_osCoreException_c0_130</v>
      </c>
      <c r="H21" t="s">
        <v>655</v>
      </c>
    </row>
    <row r="22" spans="1:8" x14ac:dyDescent="0.25">
      <c r="A22">
        <v>21</v>
      </c>
      <c r="B22" t="s">
        <v>143</v>
      </c>
      <c r="C22" t="s">
        <v>164</v>
      </c>
      <c r="E22">
        <v>320</v>
      </c>
      <c r="F22" t="str">
        <f t="shared" si="0"/>
        <v>140</v>
      </c>
      <c r="G22" t="str">
        <f t="shared" si="1"/>
        <v>_osCoreException_c0_140</v>
      </c>
      <c r="H22" t="s">
        <v>655</v>
      </c>
    </row>
    <row r="23" spans="1:8" x14ac:dyDescent="0.25">
      <c r="A23">
        <v>22</v>
      </c>
      <c r="B23" t="s">
        <v>143</v>
      </c>
      <c r="C23" t="s">
        <v>165</v>
      </c>
      <c r="E23">
        <v>336</v>
      </c>
      <c r="F23" t="str">
        <f t="shared" si="0"/>
        <v>150</v>
      </c>
      <c r="G23" t="str">
        <f t="shared" si="1"/>
        <v>_osCoreException_c0_150</v>
      </c>
      <c r="H23" t="s">
        <v>655</v>
      </c>
    </row>
    <row r="24" spans="1:8" x14ac:dyDescent="0.25">
      <c r="A24">
        <v>23</v>
      </c>
      <c r="B24" t="s">
        <v>143</v>
      </c>
      <c r="C24" t="s">
        <v>166</v>
      </c>
      <c r="E24">
        <v>352</v>
      </c>
      <c r="F24" t="str">
        <f t="shared" si="0"/>
        <v>160</v>
      </c>
      <c r="G24" t="str">
        <f t="shared" si="1"/>
        <v>_osCoreException_c0_160</v>
      </c>
      <c r="H24" t="s">
        <v>655</v>
      </c>
    </row>
    <row r="25" spans="1:8" x14ac:dyDescent="0.25">
      <c r="A25">
        <v>24</v>
      </c>
      <c r="B25" t="s">
        <v>143</v>
      </c>
      <c r="C25" t="s">
        <v>167</v>
      </c>
      <c r="E25">
        <v>368</v>
      </c>
      <c r="F25" t="str">
        <f t="shared" si="0"/>
        <v>170</v>
      </c>
      <c r="G25" t="str">
        <f t="shared" si="1"/>
        <v>_osCoreException_c0_170</v>
      </c>
      <c r="H25" t="s">
        <v>655</v>
      </c>
    </row>
    <row r="26" spans="1:8" x14ac:dyDescent="0.25">
      <c r="A26">
        <v>25</v>
      </c>
      <c r="B26" t="s">
        <v>143</v>
      </c>
      <c r="C26" t="s">
        <v>168</v>
      </c>
      <c r="E26">
        <v>384</v>
      </c>
      <c r="F26" t="str">
        <f t="shared" si="0"/>
        <v>180</v>
      </c>
      <c r="G26" t="str">
        <f t="shared" si="1"/>
        <v>_osCoreException_c0_180</v>
      </c>
      <c r="H26" t="s">
        <v>655</v>
      </c>
    </row>
    <row r="27" spans="1:8" x14ac:dyDescent="0.25">
      <c r="A27">
        <v>26</v>
      </c>
      <c r="B27" t="s">
        <v>1147</v>
      </c>
      <c r="C27" t="s">
        <v>1148</v>
      </c>
      <c r="E27">
        <v>400</v>
      </c>
      <c r="F27" t="str">
        <f t="shared" si="0"/>
        <v>190</v>
      </c>
      <c r="G27" t="str">
        <f t="shared" si="1"/>
        <v>_osCoreException_c0_190</v>
      </c>
      <c r="H27" t="s">
        <v>655</v>
      </c>
    </row>
    <row r="28" spans="1:8" x14ac:dyDescent="0.25">
      <c r="A28">
        <v>27</v>
      </c>
      <c r="B28" t="s">
        <v>1149</v>
      </c>
      <c r="C28" t="s">
        <v>1150</v>
      </c>
      <c r="E28">
        <v>416</v>
      </c>
      <c r="F28" t="str">
        <f t="shared" si="0"/>
        <v>1A0</v>
      </c>
      <c r="G28" t="str">
        <f t="shared" si="1"/>
        <v>_osCoreException_c0_1A0</v>
      </c>
      <c r="H28" t="s">
        <v>655</v>
      </c>
    </row>
    <row r="29" spans="1:8" x14ac:dyDescent="0.25">
      <c r="A29">
        <v>28</v>
      </c>
      <c r="B29" t="s">
        <v>1151</v>
      </c>
      <c r="C29" t="s">
        <v>1152</v>
      </c>
      <c r="E29">
        <v>432</v>
      </c>
      <c r="F29" t="str">
        <f t="shared" si="0"/>
        <v>1B0</v>
      </c>
      <c r="G29" t="str">
        <f t="shared" si="1"/>
        <v>_osCoreException_c0_1B0</v>
      </c>
      <c r="H29" t="s">
        <v>655</v>
      </c>
    </row>
    <row r="30" spans="1:8" x14ac:dyDescent="0.25">
      <c r="A30">
        <v>29</v>
      </c>
      <c r="B30" t="s">
        <v>143</v>
      </c>
      <c r="C30" t="s">
        <v>172</v>
      </c>
      <c r="E30">
        <v>448</v>
      </c>
      <c r="F30" t="str">
        <f t="shared" si="0"/>
        <v>1C0</v>
      </c>
      <c r="G30" t="str">
        <f t="shared" si="1"/>
        <v>_osCoreException_c0_1C0</v>
      </c>
      <c r="H30" t="s">
        <v>655</v>
      </c>
    </row>
    <row r="31" spans="1:8" x14ac:dyDescent="0.25">
      <c r="A31">
        <v>30</v>
      </c>
      <c r="B31" t="s">
        <v>1159</v>
      </c>
      <c r="C31" t="s">
        <v>1160</v>
      </c>
      <c r="E31">
        <v>464</v>
      </c>
      <c r="F31" t="str">
        <f t="shared" si="0"/>
        <v>1D0</v>
      </c>
      <c r="G31" t="str">
        <f t="shared" si="1"/>
        <v>_osCoreException_c0_1D0</v>
      </c>
      <c r="H31" t="s">
        <v>655</v>
      </c>
    </row>
    <row r="32" spans="1:8" x14ac:dyDescent="0.25">
      <c r="A32">
        <v>31</v>
      </c>
      <c r="B32" t="s">
        <v>143</v>
      </c>
      <c r="C32" t="s">
        <v>174</v>
      </c>
      <c r="E32">
        <v>480</v>
      </c>
      <c r="F32" t="str">
        <f t="shared" si="0"/>
        <v>1E0</v>
      </c>
      <c r="G32" t="str">
        <f t="shared" si="1"/>
        <v>_osCoreException_c0_1E0</v>
      </c>
      <c r="H32" t="s">
        <v>655</v>
      </c>
    </row>
    <row r="33" spans="1:8" x14ac:dyDescent="0.25">
      <c r="A33">
        <v>32</v>
      </c>
      <c r="B33" t="s">
        <v>1145</v>
      </c>
      <c r="C33" t="s">
        <v>1146</v>
      </c>
      <c r="E33">
        <v>496</v>
      </c>
      <c r="F33" t="str">
        <f t="shared" si="0"/>
        <v>1F0</v>
      </c>
      <c r="G33" t="str">
        <f t="shared" si="1"/>
        <v>_osCoreException_c0_1F0</v>
      </c>
      <c r="H33" t="s">
        <v>655</v>
      </c>
    </row>
    <row r="34" spans="1:8" x14ac:dyDescent="0.25">
      <c r="A34">
        <v>33</v>
      </c>
      <c r="B34" t="s">
        <v>143</v>
      </c>
      <c r="C34" t="s">
        <v>176</v>
      </c>
    </row>
    <row r="35" spans="1:8" x14ac:dyDescent="0.25">
      <c r="A35">
        <v>34</v>
      </c>
      <c r="B35" t="s">
        <v>143</v>
      </c>
      <c r="C35" t="s">
        <v>177</v>
      </c>
    </row>
    <row r="36" spans="1:8" x14ac:dyDescent="0.25">
      <c r="A36">
        <v>35</v>
      </c>
      <c r="B36" t="s">
        <v>143</v>
      </c>
      <c r="C36" t="s">
        <v>178</v>
      </c>
    </row>
    <row r="37" spans="1:8" x14ac:dyDescent="0.25">
      <c r="A37">
        <v>36</v>
      </c>
      <c r="B37" t="s">
        <v>143</v>
      </c>
      <c r="C37" t="s">
        <v>179</v>
      </c>
    </row>
    <row r="38" spans="1:8" x14ac:dyDescent="0.25">
      <c r="A38">
        <v>37</v>
      </c>
      <c r="B38" t="s">
        <v>143</v>
      </c>
      <c r="C38" t="s">
        <v>180</v>
      </c>
    </row>
    <row r="39" spans="1:8" x14ac:dyDescent="0.25">
      <c r="A39">
        <v>38</v>
      </c>
      <c r="B39" t="s">
        <v>143</v>
      </c>
      <c r="C39" t="s">
        <v>181</v>
      </c>
    </row>
    <row r="40" spans="1:8" x14ac:dyDescent="0.25">
      <c r="A40">
        <v>39</v>
      </c>
      <c r="B40" t="s">
        <v>143</v>
      </c>
      <c r="C40" t="s">
        <v>182</v>
      </c>
    </row>
    <row r="41" spans="1:8" x14ac:dyDescent="0.25">
      <c r="A41">
        <v>40</v>
      </c>
      <c r="B41" t="s">
        <v>143</v>
      </c>
      <c r="C41" t="s">
        <v>183</v>
      </c>
    </row>
    <row r="42" spans="1:8" x14ac:dyDescent="0.25">
      <c r="A42">
        <v>41</v>
      </c>
      <c r="B42" t="s">
        <v>143</v>
      </c>
      <c r="C42" t="s">
        <v>184</v>
      </c>
    </row>
    <row r="43" spans="1:8" x14ac:dyDescent="0.25">
      <c r="A43">
        <v>42</v>
      </c>
      <c r="B43" t="s">
        <v>143</v>
      </c>
      <c r="C43" t="s">
        <v>185</v>
      </c>
    </row>
    <row r="44" spans="1:8" x14ac:dyDescent="0.25">
      <c r="A44">
        <v>43</v>
      </c>
      <c r="B44" t="s">
        <v>143</v>
      </c>
      <c r="C44" t="s">
        <v>186</v>
      </c>
    </row>
    <row r="45" spans="1:8" x14ac:dyDescent="0.25">
      <c r="A45">
        <v>44</v>
      </c>
      <c r="B45" t="s">
        <v>143</v>
      </c>
      <c r="C45" t="s">
        <v>187</v>
      </c>
    </row>
    <row r="46" spans="1:8" x14ac:dyDescent="0.25">
      <c r="A46">
        <v>45</v>
      </c>
      <c r="B46" t="s">
        <v>143</v>
      </c>
      <c r="C46" t="s">
        <v>188</v>
      </c>
    </row>
    <row r="47" spans="1:8" x14ac:dyDescent="0.25">
      <c r="A47">
        <v>46</v>
      </c>
      <c r="B47" t="s">
        <v>143</v>
      </c>
      <c r="C47" t="s">
        <v>189</v>
      </c>
    </row>
    <row r="48" spans="1:8" x14ac:dyDescent="0.25">
      <c r="A48">
        <v>47</v>
      </c>
      <c r="B48" t="s">
        <v>143</v>
      </c>
      <c r="C48" t="s">
        <v>190</v>
      </c>
    </row>
    <row r="49" spans="1:3" x14ac:dyDescent="0.25">
      <c r="A49">
        <v>48</v>
      </c>
      <c r="B49" t="s">
        <v>143</v>
      </c>
      <c r="C49" t="s">
        <v>191</v>
      </c>
    </row>
    <row r="50" spans="1:3" x14ac:dyDescent="0.25">
      <c r="A50">
        <v>49</v>
      </c>
      <c r="B50" t="s">
        <v>143</v>
      </c>
      <c r="C50" t="s">
        <v>192</v>
      </c>
    </row>
    <row r="51" spans="1:3" x14ac:dyDescent="0.25">
      <c r="A51">
        <v>50</v>
      </c>
      <c r="B51" t="s">
        <v>143</v>
      </c>
      <c r="C51" t="s">
        <v>193</v>
      </c>
    </row>
    <row r="52" spans="1:3" x14ac:dyDescent="0.25">
      <c r="A52">
        <v>51</v>
      </c>
      <c r="B52" t="s">
        <v>143</v>
      </c>
      <c r="C52" t="s">
        <v>194</v>
      </c>
    </row>
    <row r="53" spans="1:3" x14ac:dyDescent="0.25">
      <c r="A53">
        <v>52</v>
      </c>
      <c r="B53" t="s">
        <v>1153</v>
      </c>
      <c r="C53" t="s">
        <v>1154</v>
      </c>
    </row>
    <row r="54" spans="1:3" x14ac:dyDescent="0.25">
      <c r="A54">
        <v>53</v>
      </c>
      <c r="B54" t="s">
        <v>1155</v>
      </c>
      <c r="C54" t="s">
        <v>1156</v>
      </c>
    </row>
    <row r="55" spans="1:3" x14ac:dyDescent="0.25">
      <c r="A55">
        <v>54</v>
      </c>
      <c r="B55" t="s">
        <v>143</v>
      </c>
      <c r="C55" t="s">
        <v>196</v>
      </c>
    </row>
    <row r="56" spans="1:3" x14ac:dyDescent="0.25">
      <c r="A56">
        <v>55</v>
      </c>
      <c r="B56" t="s">
        <v>143</v>
      </c>
      <c r="C56" t="s">
        <v>197</v>
      </c>
    </row>
    <row r="57" spans="1:3" x14ac:dyDescent="0.25">
      <c r="A57">
        <v>56</v>
      </c>
      <c r="B57" t="s">
        <v>143</v>
      </c>
      <c r="C57" t="s">
        <v>198</v>
      </c>
    </row>
    <row r="58" spans="1:3" x14ac:dyDescent="0.25">
      <c r="A58">
        <v>57</v>
      </c>
      <c r="B58" t="s">
        <v>143</v>
      </c>
      <c r="C58" t="s">
        <v>199</v>
      </c>
    </row>
    <row r="59" spans="1:3" x14ac:dyDescent="0.25">
      <c r="A59">
        <v>58</v>
      </c>
      <c r="B59" t="s">
        <v>143</v>
      </c>
      <c r="C59" t="s">
        <v>200</v>
      </c>
    </row>
    <row r="60" spans="1:3" x14ac:dyDescent="0.25">
      <c r="A60">
        <v>59</v>
      </c>
      <c r="B60" t="s">
        <v>143</v>
      </c>
      <c r="C60" t="s">
        <v>201</v>
      </c>
    </row>
    <row r="61" spans="1:3" x14ac:dyDescent="0.25">
      <c r="A61">
        <v>60</v>
      </c>
      <c r="B61" t="s">
        <v>143</v>
      </c>
      <c r="C61" t="s">
        <v>202</v>
      </c>
    </row>
    <row r="62" spans="1:3" x14ac:dyDescent="0.25">
      <c r="A62">
        <v>61</v>
      </c>
      <c r="B62" t="s">
        <v>143</v>
      </c>
      <c r="C62" t="s">
        <v>203</v>
      </c>
    </row>
    <row r="63" spans="1:3" x14ac:dyDescent="0.25">
      <c r="A63">
        <v>62</v>
      </c>
      <c r="B63" t="s">
        <v>143</v>
      </c>
      <c r="C63" t="s">
        <v>204</v>
      </c>
    </row>
    <row r="64" spans="1:3" x14ac:dyDescent="0.25">
      <c r="A64">
        <v>63</v>
      </c>
      <c r="B64" t="s">
        <v>143</v>
      </c>
      <c r="C64" t="s">
        <v>205</v>
      </c>
    </row>
    <row r="65" spans="1:3" x14ac:dyDescent="0.25">
      <c r="A65">
        <v>64</v>
      </c>
      <c r="B65" t="s">
        <v>143</v>
      </c>
      <c r="C65" t="s">
        <v>206</v>
      </c>
    </row>
    <row r="66" spans="1:3" x14ac:dyDescent="0.25">
      <c r="A66">
        <v>65</v>
      </c>
      <c r="B66" t="s">
        <v>143</v>
      </c>
      <c r="C66" t="s">
        <v>207</v>
      </c>
    </row>
    <row r="67" spans="1:3" x14ac:dyDescent="0.25">
      <c r="A67">
        <v>66</v>
      </c>
      <c r="B67" t="s">
        <v>143</v>
      </c>
      <c r="C67" t="s">
        <v>208</v>
      </c>
    </row>
    <row r="68" spans="1:3" x14ac:dyDescent="0.25">
      <c r="A68">
        <v>67</v>
      </c>
      <c r="B68" t="s">
        <v>143</v>
      </c>
      <c r="C68" t="s">
        <v>209</v>
      </c>
    </row>
    <row r="69" spans="1:3" x14ac:dyDescent="0.25">
      <c r="A69">
        <v>68</v>
      </c>
      <c r="B69" t="s">
        <v>143</v>
      </c>
      <c r="C69" t="s">
        <v>210</v>
      </c>
    </row>
    <row r="70" spans="1:3" x14ac:dyDescent="0.25">
      <c r="A70">
        <v>69</v>
      </c>
      <c r="B70" t="s">
        <v>143</v>
      </c>
      <c r="C70" t="s">
        <v>211</v>
      </c>
    </row>
    <row r="71" spans="1:3" x14ac:dyDescent="0.25">
      <c r="A71">
        <v>70</v>
      </c>
      <c r="B71" t="s">
        <v>143</v>
      </c>
      <c r="C71" t="s">
        <v>212</v>
      </c>
    </row>
    <row r="72" spans="1:3" x14ac:dyDescent="0.25">
      <c r="A72">
        <v>71</v>
      </c>
      <c r="B72" t="s">
        <v>143</v>
      </c>
      <c r="C72" t="s">
        <v>213</v>
      </c>
    </row>
    <row r="73" spans="1:3" x14ac:dyDescent="0.25">
      <c r="A73">
        <v>72</v>
      </c>
      <c r="B73" t="s">
        <v>1157</v>
      </c>
      <c r="C73" t="s">
        <v>1158</v>
      </c>
    </row>
    <row r="74" spans="1:3" x14ac:dyDescent="0.25">
      <c r="A74">
        <v>73</v>
      </c>
      <c r="B74" t="s">
        <v>143</v>
      </c>
      <c r="C74" t="s">
        <v>215</v>
      </c>
    </row>
    <row r="75" spans="1:3" x14ac:dyDescent="0.25">
      <c r="A75">
        <v>74</v>
      </c>
      <c r="B75" t="s">
        <v>143</v>
      </c>
      <c r="C75" t="s">
        <v>216</v>
      </c>
    </row>
    <row r="76" spans="1:3" x14ac:dyDescent="0.25">
      <c r="A76">
        <v>75</v>
      </c>
      <c r="B76" t="s">
        <v>143</v>
      </c>
      <c r="C76" t="s">
        <v>217</v>
      </c>
    </row>
    <row r="77" spans="1:3" x14ac:dyDescent="0.25">
      <c r="A77">
        <v>76</v>
      </c>
      <c r="B77" t="s">
        <v>1137</v>
      </c>
      <c r="C77" t="s">
        <v>1138</v>
      </c>
    </row>
    <row r="78" spans="1:3" x14ac:dyDescent="0.25">
      <c r="A78">
        <v>77</v>
      </c>
      <c r="B78" t="s">
        <v>143</v>
      </c>
      <c r="C78" t="s">
        <v>218</v>
      </c>
    </row>
    <row r="79" spans="1:3" x14ac:dyDescent="0.25">
      <c r="A79">
        <v>78</v>
      </c>
      <c r="B79" t="s">
        <v>143</v>
      </c>
      <c r="C79" t="s">
        <v>219</v>
      </c>
    </row>
    <row r="80" spans="1:3" x14ac:dyDescent="0.25">
      <c r="A80">
        <v>79</v>
      </c>
      <c r="B80" t="s">
        <v>143</v>
      </c>
      <c r="C80" t="s">
        <v>220</v>
      </c>
    </row>
    <row r="81" spans="1:3" x14ac:dyDescent="0.25">
      <c r="A81">
        <v>80</v>
      </c>
      <c r="B81" t="s">
        <v>143</v>
      </c>
      <c r="C81" t="s">
        <v>221</v>
      </c>
    </row>
    <row r="82" spans="1:3" x14ac:dyDescent="0.25">
      <c r="A82">
        <v>81</v>
      </c>
      <c r="B82" t="s">
        <v>143</v>
      </c>
      <c r="C82" t="s">
        <v>222</v>
      </c>
    </row>
    <row r="83" spans="1:3" x14ac:dyDescent="0.25">
      <c r="A83">
        <v>82</v>
      </c>
      <c r="B83" t="s">
        <v>143</v>
      </c>
      <c r="C83" t="s">
        <v>223</v>
      </c>
    </row>
    <row r="84" spans="1:3" x14ac:dyDescent="0.25">
      <c r="A84">
        <v>83</v>
      </c>
      <c r="B84" t="s">
        <v>143</v>
      </c>
      <c r="C84" t="s">
        <v>224</v>
      </c>
    </row>
    <row r="85" spans="1:3" x14ac:dyDescent="0.25">
      <c r="A85">
        <v>84</v>
      </c>
      <c r="B85" t="s">
        <v>143</v>
      </c>
      <c r="C85" t="s">
        <v>225</v>
      </c>
    </row>
    <row r="86" spans="1:3" x14ac:dyDescent="0.25">
      <c r="A86">
        <v>85</v>
      </c>
      <c r="B86" t="s">
        <v>143</v>
      </c>
      <c r="C86" t="s">
        <v>226</v>
      </c>
    </row>
    <row r="87" spans="1:3" x14ac:dyDescent="0.25">
      <c r="A87">
        <v>86</v>
      </c>
      <c r="B87" t="s">
        <v>143</v>
      </c>
      <c r="C87" t="s">
        <v>227</v>
      </c>
    </row>
    <row r="88" spans="1:3" x14ac:dyDescent="0.25">
      <c r="A88">
        <v>87</v>
      </c>
      <c r="B88" t="s">
        <v>143</v>
      </c>
      <c r="C88" t="s">
        <v>228</v>
      </c>
    </row>
    <row r="89" spans="1:3" x14ac:dyDescent="0.25">
      <c r="A89">
        <v>88</v>
      </c>
      <c r="B89" t="s">
        <v>143</v>
      </c>
      <c r="C89" t="s">
        <v>229</v>
      </c>
    </row>
    <row r="90" spans="1:3" x14ac:dyDescent="0.25">
      <c r="A90">
        <v>89</v>
      </c>
      <c r="B90" t="s">
        <v>143</v>
      </c>
      <c r="C90" t="s">
        <v>230</v>
      </c>
    </row>
    <row r="91" spans="1:3" x14ac:dyDescent="0.25">
      <c r="A91">
        <v>90</v>
      </c>
      <c r="B91" t="s">
        <v>143</v>
      </c>
      <c r="C91" t="s">
        <v>231</v>
      </c>
    </row>
    <row r="92" spans="1:3" x14ac:dyDescent="0.25">
      <c r="A92">
        <v>91</v>
      </c>
      <c r="B92" t="s">
        <v>143</v>
      </c>
      <c r="C92" t="s">
        <v>232</v>
      </c>
    </row>
    <row r="93" spans="1:3" x14ac:dyDescent="0.25">
      <c r="A93">
        <v>92</v>
      </c>
      <c r="B93" t="s">
        <v>143</v>
      </c>
      <c r="C93" t="s">
        <v>233</v>
      </c>
    </row>
    <row r="94" spans="1:3" x14ac:dyDescent="0.25">
      <c r="A94">
        <v>93</v>
      </c>
      <c r="B94" t="s">
        <v>143</v>
      </c>
      <c r="C94" t="s">
        <v>234</v>
      </c>
    </row>
    <row r="95" spans="1:3" x14ac:dyDescent="0.25">
      <c r="A95">
        <v>94</v>
      </c>
      <c r="B95" t="s">
        <v>143</v>
      </c>
      <c r="C95" t="s">
        <v>235</v>
      </c>
    </row>
    <row r="96" spans="1:3" x14ac:dyDescent="0.25">
      <c r="A96">
        <v>95</v>
      </c>
      <c r="B96" t="s">
        <v>143</v>
      </c>
      <c r="C96" t="s">
        <v>236</v>
      </c>
    </row>
    <row r="97" spans="1:3" x14ac:dyDescent="0.25">
      <c r="A97">
        <v>96</v>
      </c>
      <c r="B97" t="s">
        <v>143</v>
      </c>
      <c r="C97" t="s">
        <v>237</v>
      </c>
    </row>
    <row r="98" spans="1:3" x14ac:dyDescent="0.25">
      <c r="A98">
        <v>97</v>
      </c>
      <c r="B98" t="s">
        <v>143</v>
      </c>
      <c r="C98" t="s">
        <v>238</v>
      </c>
    </row>
    <row r="99" spans="1:3" x14ac:dyDescent="0.25">
      <c r="A99">
        <v>98</v>
      </c>
      <c r="B99" t="s">
        <v>143</v>
      </c>
      <c r="C99" t="s">
        <v>239</v>
      </c>
    </row>
    <row r="100" spans="1:3" x14ac:dyDescent="0.25">
      <c r="A100">
        <v>99</v>
      </c>
      <c r="B100" t="s">
        <v>143</v>
      </c>
      <c r="C100" t="s">
        <v>240</v>
      </c>
    </row>
    <row r="101" spans="1:3" x14ac:dyDescent="0.25">
      <c r="A101">
        <v>100</v>
      </c>
      <c r="B101" t="s">
        <v>143</v>
      </c>
      <c r="C101" t="s">
        <v>241</v>
      </c>
    </row>
    <row r="102" spans="1:3" x14ac:dyDescent="0.25">
      <c r="A102">
        <v>101</v>
      </c>
      <c r="B102" t="s">
        <v>143</v>
      </c>
      <c r="C102" t="s">
        <v>242</v>
      </c>
    </row>
    <row r="103" spans="1:3" x14ac:dyDescent="0.25">
      <c r="A103">
        <v>102</v>
      </c>
      <c r="B103" t="s">
        <v>143</v>
      </c>
      <c r="C103" t="s">
        <v>243</v>
      </c>
    </row>
    <row r="104" spans="1:3" x14ac:dyDescent="0.25">
      <c r="A104">
        <v>103</v>
      </c>
      <c r="B104" t="s">
        <v>143</v>
      </c>
      <c r="C104" t="s">
        <v>244</v>
      </c>
    </row>
    <row r="105" spans="1:3" x14ac:dyDescent="0.25">
      <c r="A105">
        <v>104</v>
      </c>
      <c r="B105" t="s">
        <v>143</v>
      </c>
      <c r="C105" t="s">
        <v>245</v>
      </c>
    </row>
    <row r="106" spans="1:3" x14ac:dyDescent="0.25">
      <c r="A106">
        <v>105</v>
      </c>
      <c r="B106" t="s">
        <v>1139</v>
      </c>
      <c r="C106" t="s">
        <v>1140</v>
      </c>
    </row>
    <row r="107" spans="1:3" x14ac:dyDescent="0.25">
      <c r="A107">
        <v>106</v>
      </c>
      <c r="B107" t="s">
        <v>1141</v>
      </c>
      <c r="C107" t="s">
        <v>1142</v>
      </c>
    </row>
    <row r="108" spans="1:3" x14ac:dyDescent="0.25">
      <c r="A108">
        <v>107</v>
      </c>
      <c r="B108" t="s">
        <v>1143</v>
      </c>
      <c r="C108" t="s">
        <v>1144</v>
      </c>
    </row>
    <row r="109" spans="1:3" x14ac:dyDescent="0.25">
      <c r="A109">
        <v>108</v>
      </c>
      <c r="B109" t="s">
        <v>143</v>
      </c>
      <c r="C109" t="s">
        <v>249</v>
      </c>
    </row>
    <row r="110" spans="1:3" x14ac:dyDescent="0.25">
      <c r="A110">
        <v>109</v>
      </c>
      <c r="B110" t="s">
        <v>143</v>
      </c>
      <c r="C110" t="s">
        <v>250</v>
      </c>
    </row>
    <row r="111" spans="1:3" x14ac:dyDescent="0.25">
      <c r="A111">
        <v>110</v>
      </c>
      <c r="B111" t="s">
        <v>143</v>
      </c>
      <c r="C111" t="s">
        <v>251</v>
      </c>
    </row>
    <row r="112" spans="1:3" x14ac:dyDescent="0.25">
      <c r="A112">
        <v>111</v>
      </c>
      <c r="B112" t="s">
        <v>143</v>
      </c>
      <c r="C112" t="s">
        <v>252</v>
      </c>
    </row>
    <row r="113" spans="1:3" x14ac:dyDescent="0.25">
      <c r="A113">
        <v>112</v>
      </c>
      <c r="B113" t="s">
        <v>143</v>
      </c>
      <c r="C113" t="s">
        <v>253</v>
      </c>
    </row>
    <row r="114" spans="1:3" x14ac:dyDescent="0.25">
      <c r="A114">
        <v>113</v>
      </c>
      <c r="B114" t="s">
        <v>143</v>
      </c>
      <c r="C114" t="s">
        <v>1084</v>
      </c>
    </row>
    <row r="115" spans="1:3" x14ac:dyDescent="0.25">
      <c r="A115">
        <v>114</v>
      </c>
      <c r="B115" t="s">
        <v>143</v>
      </c>
      <c r="C115" t="s">
        <v>254</v>
      </c>
    </row>
    <row r="116" spans="1:3" x14ac:dyDescent="0.25">
      <c r="A116">
        <v>115</v>
      </c>
      <c r="B116" t="s">
        <v>143</v>
      </c>
      <c r="C116" t="s">
        <v>255</v>
      </c>
    </row>
    <row r="117" spans="1:3" x14ac:dyDescent="0.25">
      <c r="A117">
        <v>116</v>
      </c>
      <c r="B117" t="s">
        <v>143</v>
      </c>
      <c r="C117" t="s">
        <v>256</v>
      </c>
    </row>
    <row r="118" spans="1:3" x14ac:dyDescent="0.25">
      <c r="A118">
        <v>117</v>
      </c>
      <c r="B118" t="s">
        <v>143</v>
      </c>
      <c r="C118" t="s">
        <v>257</v>
      </c>
    </row>
    <row r="119" spans="1:3" x14ac:dyDescent="0.25">
      <c r="A119">
        <v>118</v>
      </c>
      <c r="B119" t="s">
        <v>143</v>
      </c>
      <c r="C119" t="s">
        <v>258</v>
      </c>
    </row>
    <row r="120" spans="1:3" x14ac:dyDescent="0.25">
      <c r="A120">
        <v>119</v>
      </c>
      <c r="B120" t="s">
        <v>143</v>
      </c>
      <c r="C120" t="s">
        <v>259</v>
      </c>
    </row>
    <row r="121" spans="1:3" x14ac:dyDescent="0.25">
      <c r="A121">
        <v>120</v>
      </c>
      <c r="B121" t="s">
        <v>143</v>
      </c>
      <c r="C121" t="s">
        <v>260</v>
      </c>
    </row>
    <row r="122" spans="1:3" x14ac:dyDescent="0.25">
      <c r="A122">
        <v>121</v>
      </c>
      <c r="B122" t="s">
        <v>143</v>
      </c>
      <c r="C122" t="s">
        <v>261</v>
      </c>
    </row>
    <row r="123" spans="1:3" x14ac:dyDescent="0.25">
      <c r="A123">
        <v>122</v>
      </c>
      <c r="B123" t="s">
        <v>143</v>
      </c>
      <c r="C123" t="s">
        <v>262</v>
      </c>
    </row>
    <row r="124" spans="1:3" x14ac:dyDescent="0.25">
      <c r="A124">
        <v>123</v>
      </c>
      <c r="B124" t="s">
        <v>143</v>
      </c>
      <c r="C124" t="s">
        <v>263</v>
      </c>
    </row>
    <row r="125" spans="1:3" x14ac:dyDescent="0.25">
      <c r="A125">
        <v>124</v>
      </c>
      <c r="B125" t="s">
        <v>143</v>
      </c>
      <c r="C125" t="s">
        <v>264</v>
      </c>
    </row>
    <row r="126" spans="1:3" x14ac:dyDescent="0.25">
      <c r="A126">
        <v>125</v>
      </c>
      <c r="B126" t="s">
        <v>143</v>
      </c>
      <c r="C126" t="s">
        <v>659</v>
      </c>
    </row>
    <row r="127" spans="1:3" x14ac:dyDescent="0.25">
      <c r="A127">
        <v>126</v>
      </c>
      <c r="B127" t="s">
        <v>143</v>
      </c>
      <c r="C127" t="s">
        <v>265</v>
      </c>
    </row>
    <row r="128" spans="1:3" x14ac:dyDescent="0.25">
      <c r="A128">
        <v>127</v>
      </c>
      <c r="B128" t="s">
        <v>143</v>
      </c>
      <c r="C128" t="s">
        <v>266</v>
      </c>
    </row>
    <row r="129" spans="1:3" x14ac:dyDescent="0.25">
      <c r="A129">
        <v>128</v>
      </c>
      <c r="B129" t="s">
        <v>143</v>
      </c>
      <c r="C129" t="s">
        <v>267</v>
      </c>
    </row>
    <row r="130" spans="1:3" x14ac:dyDescent="0.25">
      <c r="A130">
        <v>129</v>
      </c>
      <c r="B130" t="s">
        <v>143</v>
      </c>
      <c r="C130" t="s">
        <v>268</v>
      </c>
    </row>
    <row r="131" spans="1:3" x14ac:dyDescent="0.25">
      <c r="A131">
        <v>130</v>
      </c>
      <c r="B131" t="s">
        <v>143</v>
      </c>
      <c r="C131" t="s">
        <v>269</v>
      </c>
    </row>
    <row r="132" spans="1:3" x14ac:dyDescent="0.25">
      <c r="A132">
        <v>131</v>
      </c>
      <c r="B132" t="s">
        <v>143</v>
      </c>
      <c r="C132" t="s">
        <v>270</v>
      </c>
    </row>
    <row r="133" spans="1:3" x14ac:dyDescent="0.25">
      <c r="A133">
        <v>132</v>
      </c>
      <c r="B133" t="s">
        <v>143</v>
      </c>
      <c r="C133" t="s">
        <v>271</v>
      </c>
    </row>
    <row r="134" spans="1:3" x14ac:dyDescent="0.25">
      <c r="A134">
        <v>133</v>
      </c>
      <c r="B134" t="s">
        <v>143</v>
      </c>
      <c r="C134" t="s">
        <v>272</v>
      </c>
    </row>
    <row r="135" spans="1:3" x14ac:dyDescent="0.25">
      <c r="A135">
        <v>134</v>
      </c>
      <c r="B135" t="s">
        <v>143</v>
      </c>
      <c r="C135" t="s">
        <v>273</v>
      </c>
    </row>
    <row r="136" spans="1:3" x14ac:dyDescent="0.25">
      <c r="A136">
        <v>135</v>
      </c>
      <c r="B136" t="s">
        <v>143</v>
      </c>
      <c r="C136" t="s">
        <v>274</v>
      </c>
    </row>
    <row r="137" spans="1:3" x14ac:dyDescent="0.25">
      <c r="A137">
        <v>136</v>
      </c>
      <c r="B137" t="s">
        <v>143</v>
      </c>
      <c r="C137" t="s">
        <v>275</v>
      </c>
    </row>
    <row r="138" spans="1:3" x14ac:dyDescent="0.25">
      <c r="A138">
        <v>137</v>
      </c>
      <c r="B138" t="s">
        <v>143</v>
      </c>
      <c r="C138" t="s">
        <v>276</v>
      </c>
    </row>
    <row r="139" spans="1:3" x14ac:dyDescent="0.25">
      <c r="A139">
        <v>138</v>
      </c>
      <c r="B139" t="s">
        <v>143</v>
      </c>
      <c r="C139" t="s">
        <v>277</v>
      </c>
    </row>
    <row r="140" spans="1:3" x14ac:dyDescent="0.25">
      <c r="A140">
        <v>139</v>
      </c>
      <c r="B140" t="s">
        <v>143</v>
      </c>
      <c r="C140" t="s">
        <v>278</v>
      </c>
    </row>
    <row r="141" spans="1:3" x14ac:dyDescent="0.25">
      <c r="A141">
        <v>140</v>
      </c>
      <c r="B141" t="s">
        <v>143</v>
      </c>
      <c r="C141" t="s">
        <v>279</v>
      </c>
    </row>
    <row r="142" spans="1:3" x14ac:dyDescent="0.25">
      <c r="A142">
        <v>141</v>
      </c>
      <c r="B142" t="s">
        <v>143</v>
      </c>
      <c r="C142" t="s">
        <v>280</v>
      </c>
    </row>
    <row r="143" spans="1:3" x14ac:dyDescent="0.25">
      <c r="A143">
        <v>142</v>
      </c>
      <c r="B143" t="s">
        <v>143</v>
      </c>
      <c r="C143" t="s">
        <v>281</v>
      </c>
    </row>
    <row r="144" spans="1:3" x14ac:dyDescent="0.25">
      <c r="A144">
        <v>143</v>
      </c>
      <c r="B144" t="s">
        <v>143</v>
      </c>
      <c r="C144" t="s">
        <v>282</v>
      </c>
    </row>
    <row r="145" spans="1:3" x14ac:dyDescent="0.25">
      <c r="A145">
        <v>144</v>
      </c>
      <c r="B145" t="s">
        <v>143</v>
      </c>
      <c r="C145" t="s">
        <v>283</v>
      </c>
    </row>
    <row r="146" spans="1:3" x14ac:dyDescent="0.25">
      <c r="A146">
        <v>145</v>
      </c>
      <c r="B146" t="s">
        <v>143</v>
      </c>
      <c r="C146" t="s">
        <v>284</v>
      </c>
    </row>
    <row r="147" spans="1:3" x14ac:dyDescent="0.25">
      <c r="A147">
        <v>146</v>
      </c>
      <c r="B147" t="s">
        <v>143</v>
      </c>
      <c r="C147" t="s">
        <v>285</v>
      </c>
    </row>
    <row r="148" spans="1:3" x14ac:dyDescent="0.25">
      <c r="A148">
        <v>147</v>
      </c>
      <c r="B148" t="s">
        <v>143</v>
      </c>
      <c r="C148" t="s">
        <v>286</v>
      </c>
    </row>
    <row r="149" spans="1:3" x14ac:dyDescent="0.25">
      <c r="A149">
        <v>148</v>
      </c>
      <c r="B149" t="s">
        <v>143</v>
      </c>
      <c r="C149" t="s">
        <v>287</v>
      </c>
    </row>
    <row r="150" spans="1:3" x14ac:dyDescent="0.25">
      <c r="A150">
        <v>149</v>
      </c>
      <c r="B150" t="s">
        <v>143</v>
      </c>
      <c r="C150" t="s">
        <v>288</v>
      </c>
    </row>
    <row r="151" spans="1:3" x14ac:dyDescent="0.25">
      <c r="A151">
        <v>150</v>
      </c>
      <c r="B151" t="s">
        <v>143</v>
      </c>
      <c r="C151" t="s">
        <v>289</v>
      </c>
    </row>
    <row r="152" spans="1:3" x14ac:dyDescent="0.25">
      <c r="A152">
        <v>151</v>
      </c>
      <c r="B152" t="s">
        <v>143</v>
      </c>
      <c r="C152" t="s">
        <v>290</v>
      </c>
    </row>
    <row r="153" spans="1:3" x14ac:dyDescent="0.25">
      <c r="A153">
        <v>152</v>
      </c>
      <c r="B153" t="s">
        <v>143</v>
      </c>
      <c r="C153" t="s">
        <v>291</v>
      </c>
    </row>
    <row r="154" spans="1:3" x14ac:dyDescent="0.25">
      <c r="A154">
        <v>153</v>
      </c>
      <c r="B154" t="s">
        <v>143</v>
      </c>
      <c r="C154" t="s">
        <v>292</v>
      </c>
    </row>
    <row r="155" spans="1:3" x14ac:dyDescent="0.25">
      <c r="A155">
        <v>154</v>
      </c>
      <c r="B155" t="s">
        <v>143</v>
      </c>
      <c r="C155" t="s">
        <v>293</v>
      </c>
    </row>
    <row r="156" spans="1:3" x14ac:dyDescent="0.25">
      <c r="A156">
        <v>155</v>
      </c>
      <c r="B156" t="s">
        <v>143</v>
      </c>
      <c r="C156" t="s">
        <v>294</v>
      </c>
    </row>
    <row r="157" spans="1:3" x14ac:dyDescent="0.25">
      <c r="A157">
        <v>156</v>
      </c>
      <c r="B157" t="s">
        <v>143</v>
      </c>
      <c r="C157" t="s">
        <v>295</v>
      </c>
    </row>
    <row r="158" spans="1:3" x14ac:dyDescent="0.25">
      <c r="A158">
        <v>157</v>
      </c>
      <c r="B158" t="s">
        <v>143</v>
      </c>
      <c r="C158" t="s">
        <v>296</v>
      </c>
    </row>
    <row r="159" spans="1:3" x14ac:dyDescent="0.25">
      <c r="A159">
        <v>158</v>
      </c>
      <c r="B159" t="s">
        <v>143</v>
      </c>
      <c r="C159" t="s">
        <v>297</v>
      </c>
    </row>
    <row r="160" spans="1:3" x14ac:dyDescent="0.25">
      <c r="A160">
        <v>159</v>
      </c>
      <c r="B160" t="s">
        <v>143</v>
      </c>
      <c r="C160" t="s">
        <v>298</v>
      </c>
    </row>
    <row r="161" spans="1:3" x14ac:dyDescent="0.25">
      <c r="A161">
        <v>160</v>
      </c>
      <c r="B161" t="s">
        <v>143</v>
      </c>
      <c r="C161" t="s">
        <v>299</v>
      </c>
    </row>
    <row r="162" spans="1:3" x14ac:dyDescent="0.25">
      <c r="A162">
        <v>161</v>
      </c>
      <c r="B162" t="s">
        <v>143</v>
      </c>
      <c r="C162" t="s">
        <v>300</v>
      </c>
    </row>
    <row r="163" spans="1:3" x14ac:dyDescent="0.25">
      <c r="A163">
        <v>162</v>
      </c>
      <c r="B163" t="s">
        <v>143</v>
      </c>
      <c r="C163" t="s">
        <v>301</v>
      </c>
    </row>
    <row r="164" spans="1:3" x14ac:dyDescent="0.25">
      <c r="A164">
        <v>163</v>
      </c>
      <c r="B164" t="s">
        <v>1161</v>
      </c>
      <c r="C164" t="s">
        <v>1162</v>
      </c>
    </row>
    <row r="165" spans="1:3" x14ac:dyDescent="0.25">
      <c r="A165">
        <v>164</v>
      </c>
      <c r="B165" t="s">
        <v>143</v>
      </c>
      <c r="C165" t="s">
        <v>303</v>
      </c>
    </row>
    <row r="166" spans="1:3" x14ac:dyDescent="0.25">
      <c r="A166">
        <v>165</v>
      </c>
      <c r="B166" t="s">
        <v>143</v>
      </c>
      <c r="C166" t="s">
        <v>304</v>
      </c>
    </row>
    <row r="167" spans="1:3" x14ac:dyDescent="0.25">
      <c r="A167">
        <v>166</v>
      </c>
      <c r="B167" t="s">
        <v>143</v>
      </c>
      <c r="C167" t="s">
        <v>305</v>
      </c>
    </row>
    <row r="168" spans="1:3" x14ac:dyDescent="0.25">
      <c r="A168">
        <v>167</v>
      </c>
      <c r="B168" t="s">
        <v>143</v>
      </c>
      <c r="C168" t="s">
        <v>306</v>
      </c>
    </row>
    <row r="169" spans="1:3" x14ac:dyDescent="0.25">
      <c r="A169">
        <v>168</v>
      </c>
      <c r="B169" t="s">
        <v>143</v>
      </c>
      <c r="C169" t="s">
        <v>307</v>
      </c>
    </row>
    <row r="170" spans="1:3" x14ac:dyDescent="0.25">
      <c r="A170">
        <v>169</v>
      </c>
      <c r="B170" t="s">
        <v>143</v>
      </c>
      <c r="C170" t="s">
        <v>308</v>
      </c>
    </row>
    <row r="171" spans="1:3" x14ac:dyDescent="0.25">
      <c r="A171">
        <v>170</v>
      </c>
      <c r="B171" t="s">
        <v>143</v>
      </c>
      <c r="C171" t="s">
        <v>309</v>
      </c>
    </row>
    <row r="172" spans="1:3" x14ac:dyDescent="0.25">
      <c r="A172">
        <v>171</v>
      </c>
      <c r="B172" t="s">
        <v>143</v>
      </c>
      <c r="C172" t="s">
        <v>310</v>
      </c>
    </row>
    <row r="173" spans="1:3" x14ac:dyDescent="0.25">
      <c r="A173">
        <v>172</v>
      </c>
      <c r="B173" t="s">
        <v>143</v>
      </c>
      <c r="C173" t="s">
        <v>311</v>
      </c>
    </row>
    <row r="174" spans="1:3" x14ac:dyDescent="0.25">
      <c r="A174">
        <v>173</v>
      </c>
      <c r="B174" t="s">
        <v>143</v>
      </c>
      <c r="C174" t="s">
        <v>312</v>
      </c>
    </row>
    <row r="175" spans="1:3" x14ac:dyDescent="0.25">
      <c r="A175">
        <v>174</v>
      </c>
      <c r="B175" t="s">
        <v>143</v>
      </c>
      <c r="C175" t="s">
        <v>313</v>
      </c>
    </row>
    <row r="176" spans="1:3" x14ac:dyDescent="0.25">
      <c r="A176">
        <v>175</v>
      </c>
      <c r="B176" t="s">
        <v>143</v>
      </c>
      <c r="C176" t="s">
        <v>314</v>
      </c>
    </row>
    <row r="177" spans="1:3" x14ac:dyDescent="0.25">
      <c r="A177">
        <v>176</v>
      </c>
      <c r="B177" t="s">
        <v>143</v>
      </c>
      <c r="C177" t="s">
        <v>315</v>
      </c>
    </row>
    <row r="178" spans="1:3" x14ac:dyDescent="0.25">
      <c r="A178">
        <v>177</v>
      </c>
      <c r="B178" t="s">
        <v>143</v>
      </c>
      <c r="C178" t="s">
        <v>316</v>
      </c>
    </row>
    <row r="179" spans="1:3" x14ac:dyDescent="0.25">
      <c r="A179">
        <v>178</v>
      </c>
      <c r="B179" t="s">
        <v>143</v>
      </c>
      <c r="C179" t="s">
        <v>317</v>
      </c>
    </row>
    <row r="180" spans="1:3" x14ac:dyDescent="0.25">
      <c r="A180">
        <v>179</v>
      </c>
      <c r="B180" t="s">
        <v>143</v>
      </c>
      <c r="C180" t="s">
        <v>318</v>
      </c>
    </row>
    <row r="181" spans="1:3" x14ac:dyDescent="0.25">
      <c r="A181">
        <v>180</v>
      </c>
      <c r="B181" t="s">
        <v>143</v>
      </c>
      <c r="C181" t="s">
        <v>319</v>
      </c>
    </row>
    <row r="182" spans="1:3" x14ac:dyDescent="0.25">
      <c r="A182">
        <v>181</v>
      </c>
      <c r="B182" t="s">
        <v>143</v>
      </c>
      <c r="C182" t="s">
        <v>320</v>
      </c>
    </row>
    <row r="183" spans="1:3" x14ac:dyDescent="0.25">
      <c r="A183">
        <v>182</v>
      </c>
      <c r="B183" t="s">
        <v>143</v>
      </c>
      <c r="C183" t="s">
        <v>321</v>
      </c>
    </row>
    <row r="184" spans="1:3" x14ac:dyDescent="0.25">
      <c r="A184">
        <v>183</v>
      </c>
      <c r="B184" t="s">
        <v>143</v>
      </c>
      <c r="C184" t="s">
        <v>322</v>
      </c>
    </row>
    <row r="185" spans="1:3" x14ac:dyDescent="0.25">
      <c r="A185">
        <v>184</v>
      </c>
      <c r="B185" t="s">
        <v>143</v>
      </c>
      <c r="C185" t="s">
        <v>323</v>
      </c>
    </row>
    <row r="186" spans="1:3" x14ac:dyDescent="0.25">
      <c r="A186">
        <v>185</v>
      </c>
      <c r="B186" t="s">
        <v>143</v>
      </c>
      <c r="C186" t="s">
        <v>324</v>
      </c>
    </row>
    <row r="187" spans="1:3" x14ac:dyDescent="0.25">
      <c r="A187">
        <v>186</v>
      </c>
      <c r="B187" t="s">
        <v>143</v>
      </c>
      <c r="C187" t="s">
        <v>325</v>
      </c>
    </row>
    <row r="188" spans="1:3" x14ac:dyDescent="0.25">
      <c r="A188">
        <v>187</v>
      </c>
      <c r="B188" t="s">
        <v>143</v>
      </c>
      <c r="C188" t="s">
        <v>326</v>
      </c>
    </row>
    <row r="189" spans="1:3" x14ac:dyDescent="0.25">
      <c r="A189">
        <v>188</v>
      </c>
      <c r="B189" t="s">
        <v>143</v>
      </c>
      <c r="C189" t="s">
        <v>327</v>
      </c>
    </row>
    <row r="190" spans="1:3" x14ac:dyDescent="0.25">
      <c r="A190">
        <v>189</v>
      </c>
      <c r="B190" t="s">
        <v>143</v>
      </c>
      <c r="C190" t="s">
        <v>328</v>
      </c>
    </row>
    <row r="191" spans="1:3" x14ac:dyDescent="0.25">
      <c r="A191">
        <v>190</v>
      </c>
      <c r="B191" t="s">
        <v>143</v>
      </c>
      <c r="C191" t="s">
        <v>329</v>
      </c>
    </row>
    <row r="192" spans="1:3" x14ac:dyDescent="0.25">
      <c r="A192">
        <v>191</v>
      </c>
      <c r="B192" t="s">
        <v>143</v>
      </c>
      <c r="C192" t="s">
        <v>330</v>
      </c>
    </row>
    <row r="193" spans="1:3" x14ac:dyDescent="0.25">
      <c r="A193">
        <v>192</v>
      </c>
      <c r="B193" t="s">
        <v>143</v>
      </c>
      <c r="C193" t="s">
        <v>331</v>
      </c>
    </row>
    <row r="194" spans="1:3" x14ac:dyDescent="0.25">
      <c r="A194">
        <v>193</v>
      </c>
      <c r="B194" t="s">
        <v>143</v>
      </c>
      <c r="C194" t="s">
        <v>332</v>
      </c>
    </row>
    <row r="195" spans="1:3" x14ac:dyDescent="0.25">
      <c r="A195">
        <v>194</v>
      </c>
      <c r="B195" t="s">
        <v>143</v>
      </c>
      <c r="C195" t="s">
        <v>333</v>
      </c>
    </row>
    <row r="196" spans="1:3" x14ac:dyDescent="0.25">
      <c r="A196">
        <v>195</v>
      </c>
      <c r="B196" t="s">
        <v>143</v>
      </c>
      <c r="C196" t="s">
        <v>334</v>
      </c>
    </row>
    <row r="197" spans="1:3" x14ac:dyDescent="0.25">
      <c r="A197">
        <v>196</v>
      </c>
      <c r="B197" t="s">
        <v>143</v>
      </c>
      <c r="C197" t="s">
        <v>335</v>
      </c>
    </row>
    <row r="198" spans="1:3" x14ac:dyDescent="0.25">
      <c r="A198">
        <v>197</v>
      </c>
      <c r="B198" t="s">
        <v>143</v>
      </c>
      <c r="C198" t="s">
        <v>336</v>
      </c>
    </row>
    <row r="199" spans="1:3" x14ac:dyDescent="0.25">
      <c r="A199">
        <v>198</v>
      </c>
      <c r="B199" t="s">
        <v>143</v>
      </c>
      <c r="C199" t="s">
        <v>337</v>
      </c>
    </row>
    <row r="200" spans="1:3" x14ac:dyDescent="0.25">
      <c r="A200">
        <v>199</v>
      </c>
      <c r="B200" t="s">
        <v>143</v>
      </c>
      <c r="C200" t="s">
        <v>338</v>
      </c>
    </row>
    <row r="201" spans="1:3" x14ac:dyDescent="0.25">
      <c r="A201">
        <v>200</v>
      </c>
      <c r="B201" t="s">
        <v>143</v>
      </c>
      <c r="C201" t="s">
        <v>339</v>
      </c>
    </row>
    <row r="202" spans="1:3" x14ac:dyDescent="0.25">
      <c r="A202">
        <v>201</v>
      </c>
      <c r="B202" t="s">
        <v>143</v>
      </c>
      <c r="C202" t="s">
        <v>340</v>
      </c>
    </row>
    <row r="203" spans="1:3" x14ac:dyDescent="0.25">
      <c r="A203">
        <v>202</v>
      </c>
      <c r="B203" t="s">
        <v>143</v>
      </c>
      <c r="C203" t="s">
        <v>341</v>
      </c>
    </row>
    <row r="204" spans="1:3" x14ac:dyDescent="0.25">
      <c r="A204">
        <v>203</v>
      </c>
      <c r="B204" t="s">
        <v>143</v>
      </c>
      <c r="C204" t="s">
        <v>342</v>
      </c>
    </row>
    <row r="205" spans="1:3" x14ac:dyDescent="0.25">
      <c r="A205">
        <v>204</v>
      </c>
      <c r="B205" t="s">
        <v>143</v>
      </c>
      <c r="C205" t="s">
        <v>343</v>
      </c>
    </row>
    <row r="206" spans="1:3" x14ac:dyDescent="0.25">
      <c r="A206">
        <v>205</v>
      </c>
      <c r="B206" t="s">
        <v>143</v>
      </c>
      <c r="C206" t="s">
        <v>344</v>
      </c>
    </row>
    <row r="207" spans="1:3" x14ac:dyDescent="0.25">
      <c r="A207">
        <v>206</v>
      </c>
      <c r="B207" t="s">
        <v>143</v>
      </c>
      <c r="C207" t="s">
        <v>345</v>
      </c>
    </row>
    <row r="208" spans="1:3" x14ac:dyDescent="0.25">
      <c r="A208">
        <v>207</v>
      </c>
      <c r="B208" t="s">
        <v>143</v>
      </c>
      <c r="C208" t="s">
        <v>346</v>
      </c>
    </row>
    <row r="209" spans="1:3" x14ac:dyDescent="0.25">
      <c r="A209">
        <v>208</v>
      </c>
      <c r="B209" t="s">
        <v>143</v>
      </c>
      <c r="C209" t="s">
        <v>347</v>
      </c>
    </row>
    <row r="210" spans="1:3" x14ac:dyDescent="0.25">
      <c r="A210">
        <v>209</v>
      </c>
      <c r="B210" t="s">
        <v>143</v>
      </c>
      <c r="C210" t="s">
        <v>348</v>
      </c>
    </row>
    <row r="211" spans="1:3" x14ac:dyDescent="0.25">
      <c r="A211">
        <v>210</v>
      </c>
      <c r="B211" t="s">
        <v>143</v>
      </c>
      <c r="C211" t="s">
        <v>349</v>
      </c>
    </row>
    <row r="212" spans="1:3" x14ac:dyDescent="0.25">
      <c r="A212">
        <v>211</v>
      </c>
      <c r="B212" t="s">
        <v>143</v>
      </c>
      <c r="C212" t="s">
        <v>350</v>
      </c>
    </row>
    <row r="213" spans="1:3" x14ac:dyDescent="0.25">
      <c r="A213">
        <v>212</v>
      </c>
      <c r="B213" t="s">
        <v>143</v>
      </c>
      <c r="C213" t="s">
        <v>351</v>
      </c>
    </row>
    <row r="214" spans="1:3" x14ac:dyDescent="0.25">
      <c r="A214">
        <v>213</v>
      </c>
      <c r="B214" t="s">
        <v>143</v>
      </c>
      <c r="C214" t="s">
        <v>352</v>
      </c>
    </row>
    <row r="215" spans="1:3" x14ac:dyDescent="0.25">
      <c r="A215">
        <v>214</v>
      </c>
      <c r="B215" t="s">
        <v>143</v>
      </c>
      <c r="C215" t="s">
        <v>353</v>
      </c>
    </row>
    <row r="216" spans="1:3" x14ac:dyDescent="0.25">
      <c r="A216">
        <v>215</v>
      </c>
      <c r="B216" t="s">
        <v>143</v>
      </c>
      <c r="C216" t="s">
        <v>354</v>
      </c>
    </row>
    <row r="217" spans="1:3" x14ac:dyDescent="0.25">
      <c r="A217">
        <v>216</v>
      </c>
      <c r="B217" t="s">
        <v>143</v>
      </c>
      <c r="C217" t="s">
        <v>355</v>
      </c>
    </row>
    <row r="218" spans="1:3" x14ac:dyDescent="0.25">
      <c r="A218">
        <v>217</v>
      </c>
      <c r="B218" t="s">
        <v>143</v>
      </c>
      <c r="C218" t="s">
        <v>356</v>
      </c>
    </row>
    <row r="219" spans="1:3" x14ac:dyDescent="0.25">
      <c r="A219">
        <v>218</v>
      </c>
      <c r="B219" t="s">
        <v>143</v>
      </c>
      <c r="C219" t="s">
        <v>357</v>
      </c>
    </row>
    <row r="220" spans="1:3" x14ac:dyDescent="0.25">
      <c r="A220">
        <v>219</v>
      </c>
      <c r="B220" t="s">
        <v>143</v>
      </c>
      <c r="C220" t="s">
        <v>358</v>
      </c>
    </row>
    <row r="221" spans="1:3" x14ac:dyDescent="0.25">
      <c r="A221">
        <v>220</v>
      </c>
      <c r="B221" t="s">
        <v>143</v>
      </c>
      <c r="C221" t="s">
        <v>359</v>
      </c>
    </row>
    <row r="222" spans="1:3" x14ac:dyDescent="0.25">
      <c r="A222">
        <v>221</v>
      </c>
      <c r="B222" t="s">
        <v>143</v>
      </c>
      <c r="C222" t="s">
        <v>360</v>
      </c>
    </row>
    <row r="223" spans="1:3" x14ac:dyDescent="0.25">
      <c r="A223">
        <v>222</v>
      </c>
      <c r="B223" t="s">
        <v>143</v>
      </c>
      <c r="C223" t="s">
        <v>361</v>
      </c>
    </row>
    <row r="224" spans="1:3" x14ac:dyDescent="0.25">
      <c r="A224">
        <v>223</v>
      </c>
      <c r="B224" t="s">
        <v>143</v>
      </c>
      <c r="C224" t="s">
        <v>362</v>
      </c>
    </row>
    <row r="225" spans="1:3" x14ac:dyDescent="0.25">
      <c r="A225">
        <v>224</v>
      </c>
      <c r="B225" t="s">
        <v>143</v>
      </c>
      <c r="C225" t="s">
        <v>363</v>
      </c>
    </row>
    <row r="226" spans="1:3" x14ac:dyDescent="0.25">
      <c r="A226">
        <v>225</v>
      </c>
      <c r="B226" t="s">
        <v>143</v>
      </c>
      <c r="C226" t="s">
        <v>364</v>
      </c>
    </row>
    <row r="227" spans="1:3" x14ac:dyDescent="0.25">
      <c r="A227">
        <v>226</v>
      </c>
      <c r="B227" t="s">
        <v>143</v>
      </c>
      <c r="C227" t="s">
        <v>365</v>
      </c>
    </row>
    <row r="228" spans="1:3" x14ac:dyDescent="0.25">
      <c r="A228">
        <v>227</v>
      </c>
      <c r="B228" t="s">
        <v>143</v>
      </c>
      <c r="C228" t="s">
        <v>366</v>
      </c>
    </row>
    <row r="229" spans="1:3" x14ac:dyDescent="0.25">
      <c r="A229">
        <v>228</v>
      </c>
      <c r="B229" t="s">
        <v>143</v>
      </c>
      <c r="C229" t="s">
        <v>367</v>
      </c>
    </row>
    <row r="230" spans="1:3" x14ac:dyDescent="0.25">
      <c r="A230">
        <v>229</v>
      </c>
      <c r="B230" t="s">
        <v>143</v>
      </c>
      <c r="C230" t="s">
        <v>368</v>
      </c>
    </row>
    <row r="231" spans="1:3" x14ac:dyDescent="0.25">
      <c r="A231">
        <v>230</v>
      </c>
      <c r="B231" t="s">
        <v>143</v>
      </c>
      <c r="C231" t="s">
        <v>369</v>
      </c>
    </row>
    <row r="232" spans="1:3" x14ac:dyDescent="0.25">
      <c r="A232">
        <v>231</v>
      </c>
      <c r="B232" t="s">
        <v>143</v>
      </c>
      <c r="C232" t="s">
        <v>370</v>
      </c>
    </row>
    <row r="233" spans="1:3" x14ac:dyDescent="0.25">
      <c r="A233">
        <v>232</v>
      </c>
      <c r="B233" t="s">
        <v>143</v>
      </c>
      <c r="C233" t="s">
        <v>371</v>
      </c>
    </row>
    <row r="234" spans="1:3" x14ac:dyDescent="0.25">
      <c r="A234">
        <v>233</v>
      </c>
      <c r="B234" t="s">
        <v>143</v>
      </c>
      <c r="C234" t="s">
        <v>372</v>
      </c>
    </row>
    <row r="235" spans="1:3" x14ac:dyDescent="0.25">
      <c r="A235">
        <v>234</v>
      </c>
      <c r="B235" t="s">
        <v>143</v>
      </c>
      <c r="C235" t="s">
        <v>373</v>
      </c>
    </row>
    <row r="236" spans="1:3" x14ac:dyDescent="0.25">
      <c r="A236">
        <v>235</v>
      </c>
      <c r="B236" t="s">
        <v>143</v>
      </c>
      <c r="C236" t="s">
        <v>374</v>
      </c>
    </row>
    <row r="237" spans="1:3" x14ac:dyDescent="0.25">
      <c r="A237">
        <v>236</v>
      </c>
      <c r="B237" t="s">
        <v>143</v>
      </c>
      <c r="C237" t="s">
        <v>375</v>
      </c>
    </row>
    <row r="238" spans="1:3" x14ac:dyDescent="0.25">
      <c r="A238">
        <v>237</v>
      </c>
      <c r="B238" t="s">
        <v>143</v>
      </c>
      <c r="C238" t="s">
        <v>376</v>
      </c>
    </row>
    <row r="239" spans="1:3" x14ac:dyDescent="0.25">
      <c r="A239">
        <v>238</v>
      </c>
      <c r="B239" t="s">
        <v>143</v>
      </c>
      <c r="C239" t="s">
        <v>377</v>
      </c>
    </row>
    <row r="240" spans="1:3" x14ac:dyDescent="0.25">
      <c r="A240">
        <v>239</v>
      </c>
      <c r="B240" t="s">
        <v>143</v>
      </c>
      <c r="C240" t="s">
        <v>378</v>
      </c>
    </row>
    <row r="241" spans="1:3" x14ac:dyDescent="0.25">
      <c r="A241">
        <v>240</v>
      </c>
      <c r="B241" t="s">
        <v>143</v>
      </c>
      <c r="C241" t="s">
        <v>379</v>
      </c>
    </row>
    <row r="242" spans="1:3" x14ac:dyDescent="0.25">
      <c r="A242">
        <v>241</v>
      </c>
      <c r="B242" t="s">
        <v>143</v>
      </c>
      <c r="C242" t="s">
        <v>380</v>
      </c>
    </row>
    <row r="243" spans="1:3" x14ac:dyDescent="0.25">
      <c r="A243">
        <v>242</v>
      </c>
      <c r="B243" t="s">
        <v>143</v>
      </c>
      <c r="C243" t="s">
        <v>381</v>
      </c>
    </row>
    <row r="244" spans="1:3" x14ac:dyDescent="0.25">
      <c r="A244">
        <v>243</v>
      </c>
      <c r="B244" t="s">
        <v>143</v>
      </c>
      <c r="C244" t="s">
        <v>382</v>
      </c>
    </row>
    <row r="245" spans="1:3" x14ac:dyDescent="0.25">
      <c r="A245">
        <v>244</v>
      </c>
      <c r="B245" t="s">
        <v>143</v>
      </c>
      <c r="C245" t="s">
        <v>383</v>
      </c>
    </row>
    <row r="246" spans="1:3" x14ac:dyDescent="0.25">
      <c r="A246">
        <v>245</v>
      </c>
      <c r="B246" t="s">
        <v>143</v>
      </c>
      <c r="C246" t="s">
        <v>384</v>
      </c>
    </row>
    <row r="247" spans="1:3" x14ac:dyDescent="0.25">
      <c r="A247">
        <v>246</v>
      </c>
      <c r="B247" t="s">
        <v>143</v>
      </c>
      <c r="C247" t="s">
        <v>385</v>
      </c>
    </row>
    <row r="248" spans="1:3" x14ac:dyDescent="0.25">
      <c r="A248">
        <v>247</v>
      </c>
      <c r="B248" t="s">
        <v>143</v>
      </c>
      <c r="C248" t="s">
        <v>386</v>
      </c>
    </row>
    <row r="249" spans="1:3" x14ac:dyDescent="0.25">
      <c r="A249">
        <v>248</v>
      </c>
      <c r="B249" t="s">
        <v>143</v>
      </c>
      <c r="C249" t="s">
        <v>387</v>
      </c>
    </row>
    <row r="250" spans="1:3" x14ac:dyDescent="0.25">
      <c r="A250">
        <v>249</v>
      </c>
      <c r="B250" t="s">
        <v>143</v>
      </c>
      <c r="C250" t="s">
        <v>388</v>
      </c>
    </row>
    <row r="251" spans="1:3" x14ac:dyDescent="0.25">
      <c r="A251">
        <v>250</v>
      </c>
      <c r="B251" t="s">
        <v>143</v>
      </c>
      <c r="C251" t="s">
        <v>389</v>
      </c>
    </row>
    <row r="252" spans="1:3" x14ac:dyDescent="0.25">
      <c r="A252">
        <v>251</v>
      </c>
      <c r="B252" t="s">
        <v>143</v>
      </c>
      <c r="C252" t="s">
        <v>390</v>
      </c>
    </row>
    <row r="253" spans="1:3" x14ac:dyDescent="0.25">
      <c r="A253">
        <v>252</v>
      </c>
      <c r="B253" t="s">
        <v>143</v>
      </c>
      <c r="C253" t="s">
        <v>391</v>
      </c>
    </row>
    <row r="254" spans="1:3" x14ac:dyDescent="0.25">
      <c r="A254">
        <v>253</v>
      </c>
      <c r="B254" t="s">
        <v>143</v>
      </c>
      <c r="C254" t="s">
        <v>392</v>
      </c>
    </row>
    <row r="255" spans="1:3" x14ac:dyDescent="0.25">
      <c r="A255">
        <v>254</v>
      </c>
      <c r="B255" t="s">
        <v>143</v>
      </c>
      <c r="C255" t="s">
        <v>393</v>
      </c>
    </row>
    <row r="256" spans="1:3" x14ac:dyDescent="0.25">
      <c r="A256">
        <v>255</v>
      </c>
      <c r="B256" t="s">
        <v>143</v>
      </c>
      <c r="C256" t="s">
        <v>394</v>
      </c>
    </row>
    <row r="257" spans="1:3" x14ac:dyDescent="0.25">
      <c r="A257">
        <v>256</v>
      </c>
      <c r="B257" t="s">
        <v>143</v>
      </c>
      <c r="C257" t="s">
        <v>395</v>
      </c>
    </row>
    <row r="258" spans="1:3" x14ac:dyDescent="0.25">
      <c r="A258">
        <v>257</v>
      </c>
      <c r="B258" t="s">
        <v>143</v>
      </c>
      <c r="C258" t="s">
        <v>396</v>
      </c>
    </row>
    <row r="259" spans="1:3" x14ac:dyDescent="0.25">
      <c r="A259">
        <v>258</v>
      </c>
      <c r="B259" t="s">
        <v>143</v>
      </c>
      <c r="C259" t="s">
        <v>397</v>
      </c>
    </row>
    <row r="260" spans="1:3" x14ac:dyDescent="0.25">
      <c r="A260">
        <v>259</v>
      </c>
      <c r="B260" t="s">
        <v>143</v>
      </c>
      <c r="C260" t="s">
        <v>398</v>
      </c>
    </row>
    <row r="261" spans="1:3" x14ac:dyDescent="0.25">
      <c r="A261">
        <v>260</v>
      </c>
      <c r="B261" t="s">
        <v>143</v>
      </c>
      <c r="C261" t="s">
        <v>399</v>
      </c>
    </row>
    <row r="262" spans="1:3" x14ac:dyDescent="0.25">
      <c r="A262">
        <v>261</v>
      </c>
      <c r="B262" t="s">
        <v>143</v>
      </c>
      <c r="C262" t="s">
        <v>400</v>
      </c>
    </row>
    <row r="263" spans="1:3" x14ac:dyDescent="0.25">
      <c r="A263">
        <v>262</v>
      </c>
      <c r="B263" t="s">
        <v>143</v>
      </c>
      <c r="C263" t="s">
        <v>401</v>
      </c>
    </row>
    <row r="264" spans="1:3" x14ac:dyDescent="0.25">
      <c r="A264">
        <v>263</v>
      </c>
      <c r="B264" t="s">
        <v>143</v>
      </c>
      <c r="C264" t="s">
        <v>402</v>
      </c>
    </row>
    <row r="265" spans="1:3" x14ac:dyDescent="0.25">
      <c r="A265">
        <v>264</v>
      </c>
      <c r="B265" t="s">
        <v>143</v>
      </c>
      <c r="C265" t="s">
        <v>403</v>
      </c>
    </row>
    <row r="266" spans="1:3" x14ac:dyDescent="0.25">
      <c r="A266">
        <v>265</v>
      </c>
      <c r="B266" t="s">
        <v>143</v>
      </c>
      <c r="C266" t="s">
        <v>404</v>
      </c>
    </row>
    <row r="267" spans="1:3" x14ac:dyDescent="0.25">
      <c r="A267">
        <v>266</v>
      </c>
      <c r="B267" t="s">
        <v>143</v>
      </c>
      <c r="C267" t="s">
        <v>405</v>
      </c>
    </row>
    <row r="268" spans="1:3" x14ac:dyDescent="0.25">
      <c r="A268">
        <v>267</v>
      </c>
      <c r="B268" t="s">
        <v>143</v>
      </c>
      <c r="C268" t="s">
        <v>406</v>
      </c>
    </row>
    <row r="269" spans="1:3" x14ac:dyDescent="0.25">
      <c r="A269">
        <v>268</v>
      </c>
      <c r="B269" t="s">
        <v>143</v>
      </c>
      <c r="C269" t="s">
        <v>407</v>
      </c>
    </row>
    <row r="270" spans="1:3" x14ac:dyDescent="0.25">
      <c r="A270">
        <v>269</v>
      </c>
      <c r="B270" t="s">
        <v>143</v>
      </c>
      <c r="C270" t="s">
        <v>408</v>
      </c>
    </row>
    <row r="271" spans="1:3" x14ac:dyDescent="0.25">
      <c r="A271">
        <v>270</v>
      </c>
      <c r="B271" t="s">
        <v>143</v>
      </c>
      <c r="C271" t="s">
        <v>409</v>
      </c>
    </row>
    <row r="272" spans="1:3" x14ac:dyDescent="0.25">
      <c r="A272">
        <v>271</v>
      </c>
      <c r="B272" t="s">
        <v>143</v>
      </c>
      <c r="C272" t="s">
        <v>410</v>
      </c>
    </row>
    <row r="273" spans="1:3" x14ac:dyDescent="0.25">
      <c r="A273">
        <v>272</v>
      </c>
      <c r="B273" t="s">
        <v>143</v>
      </c>
      <c r="C273" t="s">
        <v>411</v>
      </c>
    </row>
    <row r="274" spans="1:3" x14ac:dyDescent="0.25">
      <c r="A274">
        <v>273</v>
      </c>
      <c r="B274" t="s">
        <v>143</v>
      </c>
      <c r="C274" t="s">
        <v>412</v>
      </c>
    </row>
    <row r="275" spans="1:3" x14ac:dyDescent="0.25">
      <c r="A275">
        <v>274</v>
      </c>
      <c r="B275" t="s">
        <v>143</v>
      </c>
      <c r="C275" t="s">
        <v>413</v>
      </c>
    </row>
    <row r="276" spans="1:3" x14ac:dyDescent="0.25">
      <c r="A276">
        <v>275</v>
      </c>
      <c r="B276" t="s">
        <v>143</v>
      </c>
      <c r="C276" t="s">
        <v>414</v>
      </c>
    </row>
    <row r="277" spans="1:3" x14ac:dyDescent="0.25">
      <c r="A277">
        <v>276</v>
      </c>
      <c r="B277" t="s">
        <v>143</v>
      </c>
      <c r="C277" t="s">
        <v>415</v>
      </c>
    </row>
    <row r="278" spans="1:3" x14ac:dyDescent="0.25">
      <c r="A278">
        <v>277</v>
      </c>
      <c r="B278" t="s">
        <v>143</v>
      </c>
      <c r="C278" t="s">
        <v>416</v>
      </c>
    </row>
    <row r="279" spans="1:3" x14ac:dyDescent="0.25">
      <c r="A279">
        <v>278</v>
      </c>
      <c r="B279" t="s">
        <v>143</v>
      </c>
      <c r="C279" t="s">
        <v>417</v>
      </c>
    </row>
    <row r="280" spans="1:3" x14ac:dyDescent="0.25">
      <c r="A280">
        <v>279</v>
      </c>
      <c r="B280" t="s">
        <v>143</v>
      </c>
      <c r="C280" t="s">
        <v>418</v>
      </c>
    </row>
    <row r="281" spans="1:3" x14ac:dyDescent="0.25">
      <c r="A281">
        <v>280</v>
      </c>
      <c r="B281" t="s">
        <v>143</v>
      </c>
      <c r="C281" t="s">
        <v>419</v>
      </c>
    </row>
    <row r="282" spans="1:3" x14ac:dyDescent="0.25">
      <c r="A282">
        <v>281</v>
      </c>
      <c r="B282" t="s">
        <v>143</v>
      </c>
      <c r="C282" t="s">
        <v>420</v>
      </c>
    </row>
    <row r="283" spans="1:3" x14ac:dyDescent="0.25">
      <c r="A283">
        <v>282</v>
      </c>
      <c r="B283" t="s">
        <v>143</v>
      </c>
      <c r="C283" t="s">
        <v>421</v>
      </c>
    </row>
    <row r="284" spans="1:3" x14ac:dyDescent="0.25">
      <c r="A284">
        <v>283</v>
      </c>
      <c r="B284" t="s">
        <v>143</v>
      </c>
      <c r="C284" t="s">
        <v>422</v>
      </c>
    </row>
    <row r="285" spans="1:3" x14ac:dyDescent="0.25">
      <c r="A285">
        <v>284</v>
      </c>
      <c r="B285" t="s">
        <v>143</v>
      </c>
      <c r="C285" t="s">
        <v>423</v>
      </c>
    </row>
    <row r="286" spans="1:3" x14ac:dyDescent="0.25">
      <c r="A286">
        <v>285</v>
      </c>
      <c r="B286" t="s">
        <v>143</v>
      </c>
      <c r="C286" t="s">
        <v>424</v>
      </c>
    </row>
    <row r="287" spans="1:3" x14ac:dyDescent="0.25">
      <c r="A287">
        <v>286</v>
      </c>
      <c r="B287" t="s">
        <v>143</v>
      </c>
      <c r="C287" t="s">
        <v>425</v>
      </c>
    </row>
    <row r="288" spans="1:3" x14ac:dyDescent="0.25">
      <c r="B288" t="s">
        <v>143</v>
      </c>
      <c r="C288" t="s">
        <v>426</v>
      </c>
    </row>
    <row r="289" spans="2:3" x14ac:dyDescent="0.25">
      <c r="B289" t="s">
        <v>143</v>
      </c>
      <c r="C289" t="s">
        <v>427</v>
      </c>
    </row>
    <row r="290" spans="2:3" x14ac:dyDescent="0.25">
      <c r="B290" t="s">
        <v>143</v>
      </c>
      <c r="C290" t="s">
        <v>428</v>
      </c>
    </row>
    <row r="291" spans="2:3" x14ac:dyDescent="0.25">
      <c r="B291" t="s">
        <v>143</v>
      </c>
      <c r="C291" t="s">
        <v>429</v>
      </c>
    </row>
    <row r="292" spans="2:3" x14ac:dyDescent="0.25">
      <c r="B292" t="s">
        <v>143</v>
      </c>
      <c r="C292" t="s">
        <v>430</v>
      </c>
    </row>
    <row r="293" spans="2:3" x14ac:dyDescent="0.25">
      <c r="B293" t="s">
        <v>143</v>
      </c>
      <c r="C293" t="s">
        <v>431</v>
      </c>
    </row>
    <row r="294" spans="2:3" x14ac:dyDescent="0.25">
      <c r="B294" t="s">
        <v>143</v>
      </c>
      <c r="C294" t="s">
        <v>432</v>
      </c>
    </row>
    <row r="295" spans="2:3" x14ac:dyDescent="0.25">
      <c r="B295" t="s">
        <v>143</v>
      </c>
      <c r="C295" t="s">
        <v>433</v>
      </c>
    </row>
    <row r="296" spans="2:3" x14ac:dyDescent="0.25">
      <c r="B296" t="s">
        <v>143</v>
      </c>
      <c r="C296" t="s">
        <v>434</v>
      </c>
    </row>
    <row r="297" spans="2:3" x14ac:dyDescent="0.25">
      <c r="B297" t="s">
        <v>143</v>
      </c>
      <c r="C297" t="s">
        <v>435</v>
      </c>
    </row>
    <row r="298" spans="2:3" x14ac:dyDescent="0.25">
      <c r="B298" t="s">
        <v>143</v>
      </c>
      <c r="C298" t="s">
        <v>436</v>
      </c>
    </row>
    <row r="299" spans="2:3" x14ac:dyDescent="0.25">
      <c r="B299" t="s">
        <v>143</v>
      </c>
      <c r="C299" t="s">
        <v>437</v>
      </c>
    </row>
    <row r="300" spans="2:3" x14ac:dyDescent="0.25">
      <c r="B300" t="s">
        <v>143</v>
      </c>
      <c r="C300" t="s">
        <v>438</v>
      </c>
    </row>
    <row r="301" spans="2:3" x14ac:dyDescent="0.25">
      <c r="B301" t="s">
        <v>143</v>
      </c>
      <c r="C301" t="s">
        <v>439</v>
      </c>
    </row>
    <row r="302" spans="2:3" x14ac:dyDescent="0.25">
      <c r="B302" t="s">
        <v>143</v>
      </c>
      <c r="C302" t="s">
        <v>440</v>
      </c>
    </row>
    <row r="303" spans="2:3" x14ac:dyDescent="0.25">
      <c r="B303" t="s">
        <v>143</v>
      </c>
      <c r="C303" t="s">
        <v>441</v>
      </c>
    </row>
    <row r="304" spans="2:3" x14ac:dyDescent="0.25">
      <c r="B304" t="s">
        <v>143</v>
      </c>
      <c r="C304" t="s">
        <v>442</v>
      </c>
    </row>
    <row r="305" spans="2:3" x14ac:dyDescent="0.25">
      <c r="B305" t="s">
        <v>143</v>
      </c>
      <c r="C305" t="s">
        <v>443</v>
      </c>
    </row>
    <row r="306" spans="2:3" x14ac:dyDescent="0.25">
      <c r="B306" t="s">
        <v>143</v>
      </c>
      <c r="C306" t="s">
        <v>444</v>
      </c>
    </row>
    <row r="307" spans="2:3" x14ac:dyDescent="0.25">
      <c r="B307" t="s">
        <v>143</v>
      </c>
      <c r="C307" t="s">
        <v>445</v>
      </c>
    </row>
    <row r="308" spans="2:3" x14ac:dyDescent="0.25">
      <c r="B308" t="s">
        <v>143</v>
      </c>
      <c r="C308" t="s">
        <v>446</v>
      </c>
    </row>
    <row r="309" spans="2:3" x14ac:dyDescent="0.25">
      <c r="B309" t="s">
        <v>143</v>
      </c>
      <c r="C309" t="s">
        <v>447</v>
      </c>
    </row>
    <row r="310" spans="2:3" x14ac:dyDescent="0.25">
      <c r="B310" t="s">
        <v>143</v>
      </c>
      <c r="C310" t="s">
        <v>448</v>
      </c>
    </row>
    <row r="311" spans="2:3" x14ac:dyDescent="0.25">
      <c r="B311" t="s">
        <v>143</v>
      </c>
      <c r="C311" t="s">
        <v>449</v>
      </c>
    </row>
    <row r="312" spans="2:3" x14ac:dyDescent="0.25">
      <c r="B312" t="s">
        <v>143</v>
      </c>
      <c r="C312" t="s">
        <v>450</v>
      </c>
    </row>
    <row r="313" spans="2:3" x14ac:dyDescent="0.25">
      <c r="B313" t="s">
        <v>143</v>
      </c>
      <c r="C313" t="s">
        <v>451</v>
      </c>
    </row>
    <row r="314" spans="2:3" x14ac:dyDescent="0.25">
      <c r="B314" t="s">
        <v>143</v>
      </c>
      <c r="C314" t="s">
        <v>452</v>
      </c>
    </row>
    <row r="315" spans="2:3" x14ac:dyDescent="0.25">
      <c r="B315" t="s">
        <v>143</v>
      </c>
      <c r="C315" t="s">
        <v>453</v>
      </c>
    </row>
    <row r="316" spans="2:3" x14ac:dyDescent="0.25">
      <c r="B316" t="s">
        <v>143</v>
      </c>
      <c r="C316" t="s">
        <v>454</v>
      </c>
    </row>
    <row r="317" spans="2:3" x14ac:dyDescent="0.25">
      <c r="B317" t="s">
        <v>143</v>
      </c>
      <c r="C317" t="s">
        <v>455</v>
      </c>
    </row>
    <row r="318" spans="2:3" x14ac:dyDescent="0.25">
      <c r="B318" t="s">
        <v>143</v>
      </c>
      <c r="C318" t="s">
        <v>456</v>
      </c>
    </row>
    <row r="319" spans="2:3" x14ac:dyDescent="0.25">
      <c r="B319" t="s">
        <v>143</v>
      </c>
      <c r="C319" t="s">
        <v>457</v>
      </c>
    </row>
    <row r="320" spans="2:3" x14ac:dyDescent="0.25">
      <c r="B320" t="s">
        <v>143</v>
      </c>
      <c r="C320" t="s">
        <v>458</v>
      </c>
    </row>
    <row r="321" spans="2:3" x14ac:dyDescent="0.25">
      <c r="B321" t="s">
        <v>143</v>
      </c>
      <c r="C321" t="s">
        <v>459</v>
      </c>
    </row>
    <row r="322" spans="2:3" x14ac:dyDescent="0.25">
      <c r="B322" t="s">
        <v>143</v>
      </c>
      <c r="C322" t="s">
        <v>460</v>
      </c>
    </row>
    <row r="323" spans="2:3" x14ac:dyDescent="0.25">
      <c r="B323" t="s">
        <v>143</v>
      </c>
      <c r="C323" t="s">
        <v>461</v>
      </c>
    </row>
    <row r="324" spans="2:3" x14ac:dyDescent="0.25">
      <c r="B324" t="s">
        <v>143</v>
      </c>
      <c r="C324" t="s">
        <v>462</v>
      </c>
    </row>
    <row r="325" spans="2:3" x14ac:dyDescent="0.25">
      <c r="B325" t="s">
        <v>143</v>
      </c>
      <c r="C325" t="s">
        <v>463</v>
      </c>
    </row>
    <row r="326" spans="2:3" x14ac:dyDescent="0.25">
      <c r="B326" t="s">
        <v>143</v>
      </c>
      <c r="C326" t="s">
        <v>464</v>
      </c>
    </row>
    <row r="327" spans="2:3" x14ac:dyDescent="0.25">
      <c r="B327" t="s">
        <v>143</v>
      </c>
      <c r="C327" t="s">
        <v>465</v>
      </c>
    </row>
    <row r="328" spans="2:3" x14ac:dyDescent="0.25">
      <c r="B328" t="s">
        <v>143</v>
      </c>
      <c r="C328" t="s">
        <v>466</v>
      </c>
    </row>
    <row r="329" spans="2:3" x14ac:dyDescent="0.25">
      <c r="B329" t="s">
        <v>143</v>
      </c>
      <c r="C329" t="s">
        <v>467</v>
      </c>
    </row>
    <row r="330" spans="2:3" x14ac:dyDescent="0.25">
      <c r="B330" t="s">
        <v>143</v>
      </c>
      <c r="C330" t="s">
        <v>468</v>
      </c>
    </row>
    <row r="331" spans="2:3" x14ac:dyDescent="0.25">
      <c r="B331" t="s">
        <v>143</v>
      </c>
      <c r="C331" t="s">
        <v>469</v>
      </c>
    </row>
    <row r="332" spans="2:3" x14ac:dyDescent="0.25">
      <c r="B332" t="s">
        <v>143</v>
      </c>
      <c r="C332" t="s">
        <v>470</v>
      </c>
    </row>
    <row r="333" spans="2:3" x14ac:dyDescent="0.25">
      <c r="B333" t="s">
        <v>143</v>
      </c>
      <c r="C333" t="s">
        <v>471</v>
      </c>
    </row>
    <row r="334" spans="2:3" x14ac:dyDescent="0.25">
      <c r="B334" t="s">
        <v>143</v>
      </c>
      <c r="C334" t="s">
        <v>472</v>
      </c>
    </row>
    <row r="335" spans="2:3" x14ac:dyDescent="0.25">
      <c r="B335" t="s">
        <v>143</v>
      </c>
      <c r="C335" t="s">
        <v>473</v>
      </c>
    </row>
    <row r="336" spans="2:3" x14ac:dyDescent="0.25">
      <c r="B336" t="s">
        <v>143</v>
      </c>
      <c r="C336" t="s">
        <v>474</v>
      </c>
    </row>
    <row r="337" spans="2:3" x14ac:dyDescent="0.25">
      <c r="B337" t="s">
        <v>143</v>
      </c>
      <c r="C337" t="s">
        <v>475</v>
      </c>
    </row>
    <row r="338" spans="2:3" x14ac:dyDescent="0.25">
      <c r="B338" t="s">
        <v>143</v>
      </c>
      <c r="C338" t="s">
        <v>476</v>
      </c>
    </row>
    <row r="339" spans="2:3" x14ac:dyDescent="0.25">
      <c r="B339" t="s">
        <v>143</v>
      </c>
      <c r="C339" t="s">
        <v>477</v>
      </c>
    </row>
    <row r="340" spans="2:3" x14ac:dyDescent="0.25">
      <c r="B340" t="s">
        <v>143</v>
      </c>
      <c r="C340" t="s">
        <v>478</v>
      </c>
    </row>
    <row r="341" spans="2:3" x14ac:dyDescent="0.25">
      <c r="B341" t="s">
        <v>143</v>
      </c>
      <c r="C341" t="s">
        <v>479</v>
      </c>
    </row>
    <row r="342" spans="2:3" x14ac:dyDescent="0.25">
      <c r="B342" t="s">
        <v>143</v>
      </c>
      <c r="C342" t="s">
        <v>480</v>
      </c>
    </row>
    <row r="343" spans="2:3" x14ac:dyDescent="0.25">
      <c r="B343" t="s">
        <v>143</v>
      </c>
      <c r="C343" t="s">
        <v>481</v>
      </c>
    </row>
    <row r="344" spans="2:3" x14ac:dyDescent="0.25">
      <c r="B344" t="s">
        <v>143</v>
      </c>
      <c r="C344" t="s">
        <v>482</v>
      </c>
    </row>
    <row r="345" spans="2:3" x14ac:dyDescent="0.25">
      <c r="B345" t="s">
        <v>143</v>
      </c>
      <c r="C345" t="s">
        <v>483</v>
      </c>
    </row>
    <row r="346" spans="2:3" x14ac:dyDescent="0.25">
      <c r="B346" t="s">
        <v>143</v>
      </c>
      <c r="C346" t="s">
        <v>484</v>
      </c>
    </row>
    <row r="347" spans="2:3" x14ac:dyDescent="0.25">
      <c r="B347" t="s">
        <v>143</v>
      </c>
      <c r="C347" t="s">
        <v>485</v>
      </c>
    </row>
    <row r="348" spans="2:3" x14ac:dyDescent="0.25">
      <c r="B348" t="s">
        <v>143</v>
      </c>
      <c r="C348" t="s">
        <v>486</v>
      </c>
    </row>
    <row r="349" spans="2:3" x14ac:dyDescent="0.25">
      <c r="B349" t="s">
        <v>143</v>
      </c>
      <c r="C349" t="s">
        <v>487</v>
      </c>
    </row>
    <row r="350" spans="2:3" x14ac:dyDescent="0.25">
      <c r="B350" t="s">
        <v>143</v>
      </c>
      <c r="C350" t="s">
        <v>488</v>
      </c>
    </row>
    <row r="351" spans="2:3" x14ac:dyDescent="0.25">
      <c r="B351" t="s">
        <v>143</v>
      </c>
      <c r="C351" t="s">
        <v>489</v>
      </c>
    </row>
    <row r="352" spans="2:3" x14ac:dyDescent="0.25">
      <c r="B352" t="s">
        <v>143</v>
      </c>
      <c r="C352" t="s">
        <v>490</v>
      </c>
    </row>
    <row r="353" spans="2:3" x14ac:dyDescent="0.25">
      <c r="B353" t="s">
        <v>143</v>
      </c>
      <c r="C353" t="s">
        <v>491</v>
      </c>
    </row>
    <row r="354" spans="2:3" x14ac:dyDescent="0.25">
      <c r="B354" t="s">
        <v>143</v>
      </c>
      <c r="C354" t="s">
        <v>492</v>
      </c>
    </row>
    <row r="355" spans="2:3" x14ac:dyDescent="0.25">
      <c r="B355" t="s">
        <v>143</v>
      </c>
      <c r="C355" t="s">
        <v>493</v>
      </c>
    </row>
    <row r="356" spans="2:3" x14ac:dyDescent="0.25">
      <c r="B356" t="s">
        <v>143</v>
      </c>
      <c r="C356" t="s">
        <v>494</v>
      </c>
    </row>
    <row r="357" spans="2:3" x14ac:dyDescent="0.25">
      <c r="B357" t="s">
        <v>143</v>
      </c>
      <c r="C357" t="s">
        <v>495</v>
      </c>
    </row>
    <row r="358" spans="2:3" x14ac:dyDescent="0.25">
      <c r="B358" t="s">
        <v>143</v>
      </c>
      <c r="C358" t="s">
        <v>496</v>
      </c>
    </row>
    <row r="359" spans="2:3" x14ac:dyDescent="0.25">
      <c r="B359" t="s">
        <v>143</v>
      </c>
      <c r="C359" t="s">
        <v>497</v>
      </c>
    </row>
    <row r="360" spans="2:3" x14ac:dyDescent="0.25">
      <c r="B360" t="s">
        <v>143</v>
      </c>
      <c r="C360" t="s">
        <v>498</v>
      </c>
    </row>
    <row r="361" spans="2:3" x14ac:dyDescent="0.25">
      <c r="B361" t="s">
        <v>143</v>
      </c>
      <c r="C361" t="s">
        <v>499</v>
      </c>
    </row>
    <row r="362" spans="2:3" x14ac:dyDescent="0.25">
      <c r="B362" t="s">
        <v>143</v>
      </c>
      <c r="C362" t="s">
        <v>500</v>
      </c>
    </row>
    <row r="363" spans="2:3" x14ac:dyDescent="0.25">
      <c r="B363" t="s">
        <v>143</v>
      </c>
      <c r="C363" t="s">
        <v>501</v>
      </c>
    </row>
    <row r="364" spans="2:3" x14ac:dyDescent="0.25">
      <c r="B364" t="s">
        <v>143</v>
      </c>
      <c r="C364" t="s">
        <v>502</v>
      </c>
    </row>
    <row r="365" spans="2:3" x14ac:dyDescent="0.25">
      <c r="B365" t="s">
        <v>143</v>
      </c>
      <c r="C365" t="s">
        <v>503</v>
      </c>
    </row>
    <row r="366" spans="2:3" x14ac:dyDescent="0.25">
      <c r="B366" t="s">
        <v>143</v>
      </c>
      <c r="C366" t="s">
        <v>504</v>
      </c>
    </row>
    <row r="367" spans="2:3" x14ac:dyDescent="0.25">
      <c r="B367" t="s">
        <v>143</v>
      </c>
      <c r="C367" t="s">
        <v>505</v>
      </c>
    </row>
    <row r="368" spans="2:3" x14ac:dyDescent="0.25">
      <c r="B368" t="s">
        <v>143</v>
      </c>
      <c r="C368" t="s">
        <v>506</v>
      </c>
    </row>
    <row r="369" spans="2:3" x14ac:dyDescent="0.25">
      <c r="B369" t="s">
        <v>143</v>
      </c>
      <c r="C369" t="s">
        <v>507</v>
      </c>
    </row>
    <row r="370" spans="2:3" x14ac:dyDescent="0.25">
      <c r="B370" t="s">
        <v>143</v>
      </c>
      <c r="C370" t="s">
        <v>508</v>
      </c>
    </row>
    <row r="371" spans="2:3" x14ac:dyDescent="0.25">
      <c r="B371" t="s">
        <v>143</v>
      </c>
      <c r="C371" t="s">
        <v>509</v>
      </c>
    </row>
    <row r="372" spans="2:3" x14ac:dyDescent="0.25">
      <c r="B372" t="s">
        <v>143</v>
      </c>
      <c r="C372" t="s">
        <v>510</v>
      </c>
    </row>
    <row r="373" spans="2:3" x14ac:dyDescent="0.25">
      <c r="B373" t="s">
        <v>143</v>
      </c>
      <c r="C373" t="s">
        <v>511</v>
      </c>
    </row>
    <row r="374" spans="2:3" x14ac:dyDescent="0.25">
      <c r="B374" t="s">
        <v>143</v>
      </c>
      <c r="C374" t="s">
        <v>512</v>
      </c>
    </row>
    <row r="375" spans="2:3" x14ac:dyDescent="0.25">
      <c r="B375" t="s">
        <v>143</v>
      </c>
      <c r="C375" t="s">
        <v>513</v>
      </c>
    </row>
    <row r="376" spans="2:3" x14ac:dyDescent="0.25">
      <c r="B376" t="s">
        <v>143</v>
      </c>
      <c r="C376" t="s">
        <v>514</v>
      </c>
    </row>
    <row r="377" spans="2:3" x14ac:dyDescent="0.25">
      <c r="B377" t="s">
        <v>143</v>
      </c>
      <c r="C377" t="s">
        <v>515</v>
      </c>
    </row>
    <row r="378" spans="2:3" x14ac:dyDescent="0.25">
      <c r="B378" t="s">
        <v>143</v>
      </c>
      <c r="C378" t="s">
        <v>516</v>
      </c>
    </row>
    <row r="379" spans="2:3" x14ac:dyDescent="0.25">
      <c r="B379" t="s">
        <v>143</v>
      </c>
      <c r="C379" t="s">
        <v>517</v>
      </c>
    </row>
    <row r="380" spans="2:3" x14ac:dyDescent="0.25">
      <c r="B380" t="s">
        <v>143</v>
      </c>
      <c r="C380" t="s">
        <v>518</v>
      </c>
    </row>
    <row r="381" spans="2:3" x14ac:dyDescent="0.25">
      <c r="B381" t="s">
        <v>143</v>
      </c>
      <c r="C381" t="s">
        <v>519</v>
      </c>
    </row>
    <row r="382" spans="2:3" x14ac:dyDescent="0.25">
      <c r="B382" t="s">
        <v>143</v>
      </c>
      <c r="C382" t="s">
        <v>520</v>
      </c>
    </row>
    <row r="383" spans="2:3" x14ac:dyDescent="0.25">
      <c r="B383" t="s">
        <v>143</v>
      </c>
      <c r="C383" t="s">
        <v>521</v>
      </c>
    </row>
    <row r="384" spans="2:3" x14ac:dyDescent="0.25">
      <c r="B384" t="s">
        <v>143</v>
      </c>
      <c r="C384" t="s">
        <v>522</v>
      </c>
    </row>
    <row r="385" spans="2:3" x14ac:dyDescent="0.25">
      <c r="B385" t="s">
        <v>143</v>
      </c>
      <c r="C385" t="s">
        <v>523</v>
      </c>
    </row>
    <row r="386" spans="2:3" x14ac:dyDescent="0.25">
      <c r="B386" t="s">
        <v>143</v>
      </c>
      <c r="C386" t="s">
        <v>524</v>
      </c>
    </row>
    <row r="387" spans="2:3" x14ac:dyDescent="0.25">
      <c r="B387" t="s">
        <v>143</v>
      </c>
      <c r="C387" t="s">
        <v>525</v>
      </c>
    </row>
    <row r="388" spans="2:3" x14ac:dyDescent="0.25">
      <c r="B388" t="s">
        <v>143</v>
      </c>
      <c r="C388" t="s">
        <v>526</v>
      </c>
    </row>
    <row r="389" spans="2:3" x14ac:dyDescent="0.25">
      <c r="B389" t="s">
        <v>143</v>
      </c>
      <c r="C389" t="s">
        <v>527</v>
      </c>
    </row>
    <row r="390" spans="2:3" x14ac:dyDescent="0.25">
      <c r="B390" t="s">
        <v>143</v>
      </c>
      <c r="C390" t="s">
        <v>528</v>
      </c>
    </row>
    <row r="391" spans="2:3" x14ac:dyDescent="0.25">
      <c r="B391" t="s">
        <v>143</v>
      </c>
      <c r="C391" t="s">
        <v>529</v>
      </c>
    </row>
    <row r="392" spans="2:3" x14ac:dyDescent="0.25">
      <c r="B392" t="s">
        <v>143</v>
      </c>
      <c r="C392" t="s">
        <v>530</v>
      </c>
    </row>
    <row r="393" spans="2:3" x14ac:dyDescent="0.25">
      <c r="B393" t="s">
        <v>143</v>
      </c>
      <c r="C393" t="s">
        <v>531</v>
      </c>
    </row>
    <row r="394" spans="2:3" x14ac:dyDescent="0.25">
      <c r="B394" t="s">
        <v>143</v>
      </c>
      <c r="C394" t="s">
        <v>532</v>
      </c>
    </row>
    <row r="395" spans="2:3" x14ac:dyDescent="0.25">
      <c r="B395" t="s">
        <v>143</v>
      </c>
      <c r="C395" t="s">
        <v>533</v>
      </c>
    </row>
    <row r="396" spans="2:3" x14ac:dyDescent="0.25">
      <c r="B396" t="s">
        <v>143</v>
      </c>
      <c r="C396" t="s">
        <v>534</v>
      </c>
    </row>
    <row r="397" spans="2:3" x14ac:dyDescent="0.25">
      <c r="B397" t="s">
        <v>143</v>
      </c>
      <c r="C397" t="s">
        <v>535</v>
      </c>
    </row>
    <row r="398" spans="2:3" x14ac:dyDescent="0.25">
      <c r="B398" t="s">
        <v>143</v>
      </c>
      <c r="C398" t="s">
        <v>536</v>
      </c>
    </row>
    <row r="399" spans="2:3" x14ac:dyDescent="0.25">
      <c r="B399" t="s">
        <v>143</v>
      </c>
      <c r="C399" t="s">
        <v>537</v>
      </c>
    </row>
    <row r="400" spans="2:3" x14ac:dyDescent="0.25">
      <c r="B400" t="s">
        <v>143</v>
      </c>
      <c r="C400" t="s">
        <v>538</v>
      </c>
    </row>
    <row r="401" spans="2:3" x14ac:dyDescent="0.25">
      <c r="B401" t="s">
        <v>143</v>
      </c>
      <c r="C401" t="s">
        <v>539</v>
      </c>
    </row>
    <row r="402" spans="2:3" x14ac:dyDescent="0.25">
      <c r="B402" t="s">
        <v>143</v>
      </c>
      <c r="C402" t="s">
        <v>540</v>
      </c>
    </row>
    <row r="403" spans="2:3" x14ac:dyDescent="0.25">
      <c r="B403" t="s">
        <v>143</v>
      </c>
      <c r="C403" t="s">
        <v>541</v>
      </c>
    </row>
    <row r="404" spans="2:3" x14ac:dyDescent="0.25">
      <c r="B404" t="s">
        <v>143</v>
      </c>
      <c r="C404" t="s">
        <v>542</v>
      </c>
    </row>
    <row r="405" spans="2:3" x14ac:dyDescent="0.25">
      <c r="B405" t="s">
        <v>143</v>
      </c>
      <c r="C405" t="s">
        <v>543</v>
      </c>
    </row>
    <row r="406" spans="2:3" x14ac:dyDescent="0.25">
      <c r="B406" t="s">
        <v>143</v>
      </c>
      <c r="C406" t="s">
        <v>544</v>
      </c>
    </row>
    <row r="407" spans="2:3" x14ac:dyDescent="0.25">
      <c r="B407" t="s">
        <v>143</v>
      </c>
      <c r="C407" t="s">
        <v>545</v>
      </c>
    </row>
    <row r="408" spans="2:3" x14ac:dyDescent="0.25">
      <c r="B408" t="s">
        <v>143</v>
      </c>
      <c r="C408" t="s">
        <v>546</v>
      </c>
    </row>
    <row r="409" spans="2:3" x14ac:dyDescent="0.25">
      <c r="B409" t="s">
        <v>143</v>
      </c>
      <c r="C409" t="s">
        <v>547</v>
      </c>
    </row>
    <row r="410" spans="2:3" x14ac:dyDescent="0.25">
      <c r="B410" t="s">
        <v>143</v>
      </c>
      <c r="C410" t="s">
        <v>548</v>
      </c>
    </row>
    <row r="411" spans="2:3" x14ac:dyDescent="0.25">
      <c r="B411" t="s">
        <v>143</v>
      </c>
      <c r="C411" t="s">
        <v>549</v>
      </c>
    </row>
    <row r="412" spans="2:3" x14ac:dyDescent="0.25">
      <c r="B412" t="s">
        <v>143</v>
      </c>
      <c r="C412" t="s">
        <v>550</v>
      </c>
    </row>
    <row r="413" spans="2:3" x14ac:dyDescent="0.25">
      <c r="B413" t="s">
        <v>143</v>
      </c>
      <c r="C413" t="s">
        <v>551</v>
      </c>
    </row>
    <row r="414" spans="2:3" x14ac:dyDescent="0.25">
      <c r="B414" t="s">
        <v>143</v>
      </c>
      <c r="C414" t="s">
        <v>552</v>
      </c>
    </row>
    <row r="415" spans="2:3" x14ac:dyDescent="0.25">
      <c r="B415" t="s">
        <v>143</v>
      </c>
      <c r="C415" t="s">
        <v>553</v>
      </c>
    </row>
    <row r="416" spans="2:3" x14ac:dyDescent="0.25">
      <c r="B416" t="s">
        <v>143</v>
      </c>
      <c r="C416" t="s">
        <v>554</v>
      </c>
    </row>
    <row r="417" spans="2:3" x14ac:dyDescent="0.25">
      <c r="B417" t="s">
        <v>143</v>
      </c>
      <c r="C417" t="s">
        <v>555</v>
      </c>
    </row>
    <row r="418" spans="2:3" x14ac:dyDescent="0.25">
      <c r="B418" t="s">
        <v>143</v>
      </c>
      <c r="C418" t="s">
        <v>556</v>
      </c>
    </row>
    <row r="419" spans="2:3" x14ac:dyDescent="0.25">
      <c r="B419" t="s">
        <v>143</v>
      </c>
      <c r="C419" t="s">
        <v>557</v>
      </c>
    </row>
    <row r="420" spans="2:3" x14ac:dyDescent="0.25">
      <c r="B420" t="s">
        <v>143</v>
      </c>
      <c r="C420" t="s">
        <v>558</v>
      </c>
    </row>
    <row r="421" spans="2:3" x14ac:dyDescent="0.25">
      <c r="B421" t="s">
        <v>143</v>
      </c>
      <c r="C421" t="s">
        <v>559</v>
      </c>
    </row>
    <row r="422" spans="2:3" x14ac:dyDescent="0.25">
      <c r="B422" t="s">
        <v>143</v>
      </c>
      <c r="C422" t="s">
        <v>560</v>
      </c>
    </row>
    <row r="423" spans="2:3" x14ac:dyDescent="0.25">
      <c r="B423" t="s">
        <v>143</v>
      </c>
      <c r="C423" t="s">
        <v>561</v>
      </c>
    </row>
    <row r="424" spans="2:3" x14ac:dyDescent="0.25">
      <c r="B424" t="s">
        <v>143</v>
      </c>
      <c r="C424" t="s">
        <v>562</v>
      </c>
    </row>
    <row r="425" spans="2:3" x14ac:dyDescent="0.25">
      <c r="B425" t="s">
        <v>143</v>
      </c>
      <c r="C425" t="s">
        <v>563</v>
      </c>
    </row>
    <row r="426" spans="2:3" x14ac:dyDescent="0.25">
      <c r="B426" t="s">
        <v>143</v>
      </c>
      <c r="C426" t="s">
        <v>564</v>
      </c>
    </row>
    <row r="427" spans="2:3" x14ac:dyDescent="0.25">
      <c r="B427" t="s">
        <v>143</v>
      </c>
      <c r="C427" t="s">
        <v>565</v>
      </c>
    </row>
    <row r="428" spans="2:3" x14ac:dyDescent="0.25">
      <c r="B428" t="s">
        <v>143</v>
      </c>
      <c r="C428" t="s">
        <v>566</v>
      </c>
    </row>
    <row r="429" spans="2:3" x14ac:dyDescent="0.25">
      <c r="B429" t="s">
        <v>143</v>
      </c>
      <c r="C429" t="s">
        <v>567</v>
      </c>
    </row>
    <row r="430" spans="2:3" x14ac:dyDescent="0.25">
      <c r="B430" t="s">
        <v>143</v>
      </c>
      <c r="C430" t="s">
        <v>568</v>
      </c>
    </row>
    <row r="431" spans="2:3" x14ac:dyDescent="0.25">
      <c r="B431" t="s">
        <v>143</v>
      </c>
      <c r="C431" t="s">
        <v>569</v>
      </c>
    </row>
    <row r="432" spans="2:3" x14ac:dyDescent="0.25">
      <c r="B432" t="s">
        <v>143</v>
      </c>
      <c r="C432" t="s">
        <v>570</v>
      </c>
    </row>
    <row r="433" spans="2:3" x14ac:dyDescent="0.25">
      <c r="B433" t="s">
        <v>143</v>
      </c>
      <c r="C433" t="s">
        <v>571</v>
      </c>
    </row>
    <row r="434" spans="2:3" x14ac:dyDescent="0.25">
      <c r="B434" t="s">
        <v>143</v>
      </c>
      <c r="C434" t="s">
        <v>572</v>
      </c>
    </row>
    <row r="435" spans="2:3" x14ac:dyDescent="0.25">
      <c r="B435" t="s">
        <v>143</v>
      </c>
      <c r="C435" t="s">
        <v>573</v>
      </c>
    </row>
    <row r="436" spans="2:3" x14ac:dyDescent="0.25">
      <c r="B436" t="s">
        <v>143</v>
      </c>
      <c r="C436" t="s">
        <v>574</v>
      </c>
    </row>
    <row r="437" spans="2:3" x14ac:dyDescent="0.25">
      <c r="B437" t="s">
        <v>143</v>
      </c>
      <c r="C437" t="s">
        <v>575</v>
      </c>
    </row>
    <row r="438" spans="2:3" x14ac:dyDescent="0.25">
      <c r="B438" t="s">
        <v>143</v>
      </c>
      <c r="C438" t="s">
        <v>576</v>
      </c>
    </row>
    <row r="439" spans="2:3" x14ac:dyDescent="0.25">
      <c r="B439" t="s">
        <v>143</v>
      </c>
      <c r="C439" t="s">
        <v>577</v>
      </c>
    </row>
    <row r="440" spans="2:3" x14ac:dyDescent="0.25">
      <c r="B440" t="s">
        <v>143</v>
      </c>
      <c r="C440" t="s">
        <v>578</v>
      </c>
    </row>
    <row r="441" spans="2:3" x14ac:dyDescent="0.25">
      <c r="B441" t="s">
        <v>143</v>
      </c>
      <c r="C441" t="s">
        <v>579</v>
      </c>
    </row>
    <row r="442" spans="2:3" x14ac:dyDescent="0.25">
      <c r="B442" t="s">
        <v>143</v>
      </c>
      <c r="C442" t="s">
        <v>580</v>
      </c>
    </row>
    <row r="443" spans="2:3" x14ac:dyDescent="0.25">
      <c r="B443" t="s">
        <v>143</v>
      </c>
      <c r="C443" t="s">
        <v>581</v>
      </c>
    </row>
    <row r="444" spans="2:3" x14ac:dyDescent="0.25">
      <c r="B444" t="s">
        <v>143</v>
      </c>
      <c r="C444" t="s">
        <v>582</v>
      </c>
    </row>
    <row r="445" spans="2:3" x14ac:dyDescent="0.25">
      <c r="B445" t="s">
        <v>143</v>
      </c>
      <c r="C445" t="s">
        <v>583</v>
      </c>
    </row>
    <row r="446" spans="2:3" x14ac:dyDescent="0.25">
      <c r="B446" t="s">
        <v>143</v>
      </c>
      <c r="C446" t="s">
        <v>584</v>
      </c>
    </row>
    <row r="447" spans="2:3" x14ac:dyDescent="0.25">
      <c r="B447" t="s">
        <v>143</v>
      </c>
      <c r="C447" t="s">
        <v>585</v>
      </c>
    </row>
    <row r="448" spans="2:3" x14ac:dyDescent="0.25">
      <c r="B448" t="s">
        <v>143</v>
      </c>
      <c r="C448" t="s">
        <v>586</v>
      </c>
    </row>
    <row r="449" spans="2:3" x14ac:dyDescent="0.25">
      <c r="B449" t="s">
        <v>143</v>
      </c>
      <c r="C449" t="s">
        <v>587</v>
      </c>
    </row>
    <row r="450" spans="2:3" x14ac:dyDescent="0.25">
      <c r="B450" t="s">
        <v>143</v>
      </c>
      <c r="C450" t="s">
        <v>588</v>
      </c>
    </row>
    <row r="451" spans="2:3" x14ac:dyDescent="0.25">
      <c r="B451" t="s">
        <v>143</v>
      </c>
      <c r="C451" t="s">
        <v>589</v>
      </c>
    </row>
    <row r="452" spans="2:3" x14ac:dyDescent="0.25">
      <c r="B452" t="s">
        <v>143</v>
      </c>
      <c r="C452" t="s">
        <v>590</v>
      </c>
    </row>
    <row r="453" spans="2:3" x14ac:dyDescent="0.25">
      <c r="B453" t="s">
        <v>143</v>
      </c>
      <c r="C453" t="s">
        <v>591</v>
      </c>
    </row>
    <row r="454" spans="2:3" x14ac:dyDescent="0.25">
      <c r="B454" t="s">
        <v>143</v>
      </c>
      <c r="C454" t="s">
        <v>592</v>
      </c>
    </row>
    <row r="455" spans="2:3" x14ac:dyDescent="0.25">
      <c r="B455" t="s">
        <v>143</v>
      </c>
      <c r="C455" t="s">
        <v>593</v>
      </c>
    </row>
    <row r="456" spans="2:3" x14ac:dyDescent="0.25">
      <c r="B456" t="s">
        <v>143</v>
      </c>
      <c r="C456" t="s">
        <v>594</v>
      </c>
    </row>
    <row r="457" spans="2:3" x14ac:dyDescent="0.25">
      <c r="B457" t="s">
        <v>143</v>
      </c>
      <c r="C457" t="s">
        <v>595</v>
      </c>
    </row>
    <row r="458" spans="2:3" x14ac:dyDescent="0.25">
      <c r="B458" t="s">
        <v>143</v>
      </c>
      <c r="C458" t="s">
        <v>596</v>
      </c>
    </row>
    <row r="459" spans="2:3" x14ac:dyDescent="0.25">
      <c r="B459" t="s">
        <v>143</v>
      </c>
      <c r="C459" t="s">
        <v>597</v>
      </c>
    </row>
    <row r="460" spans="2:3" x14ac:dyDescent="0.25">
      <c r="B460" t="s">
        <v>143</v>
      </c>
      <c r="C460" t="s">
        <v>598</v>
      </c>
    </row>
    <row r="461" spans="2:3" x14ac:dyDescent="0.25">
      <c r="B461" t="s">
        <v>143</v>
      </c>
      <c r="C461" t="s">
        <v>599</v>
      </c>
    </row>
    <row r="462" spans="2:3" x14ac:dyDescent="0.25">
      <c r="B462" t="s">
        <v>143</v>
      </c>
      <c r="C462" t="s">
        <v>600</v>
      </c>
    </row>
    <row r="463" spans="2:3" x14ac:dyDescent="0.25">
      <c r="B463" t="s">
        <v>143</v>
      </c>
      <c r="C463" t="s">
        <v>601</v>
      </c>
    </row>
    <row r="464" spans="2:3" x14ac:dyDescent="0.25">
      <c r="B464" t="s">
        <v>143</v>
      </c>
      <c r="C464" t="s">
        <v>602</v>
      </c>
    </row>
    <row r="465" spans="2:3" x14ac:dyDescent="0.25">
      <c r="B465" t="s">
        <v>143</v>
      </c>
      <c r="C465" t="s">
        <v>603</v>
      </c>
    </row>
    <row r="466" spans="2:3" x14ac:dyDescent="0.25">
      <c r="B466" t="s">
        <v>143</v>
      </c>
      <c r="C466" t="s">
        <v>604</v>
      </c>
    </row>
    <row r="467" spans="2:3" x14ac:dyDescent="0.25">
      <c r="B467" t="s">
        <v>143</v>
      </c>
      <c r="C467" t="s">
        <v>605</v>
      </c>
    </row>
    <row r="468" spans="2:3" x14ac:dyDescent="0.25">
      <c r="B468" t="s">
        <v>143</v>
      </c>
      <c r="C468" t="s">
        <v>606</v>
      </c>
    </row>
    <row r="469" spans="2:3" x14ac:dyDescent="0.25">
      <c r="B469" t="s">
        <v>143</v>
      </c>
      <c r="C469" t="s">
        <v>607</v>
      </c>
    </row>
    <row r="470" spans="2:3" x14ac:dyDescent="0.25">
      <c r="B470" t="s">
        <v>143</v>
      </c>
      <c r="C470" t="s">
        <v>608</v>
      </c>
    </row>
    <row r="471" spans="2:3" x14ac:dyDescent="0.25">
      <c r="B471" t="s">
        <v>143</v>
      </c>
      <c r="C471" t="s">
        <v>609</v>
      </c>
    </row>
    <row r="472" spans="2:3" x14ac:dyDescent="0.25">
      <c r="B472" t="s">
        <v>143</v>
      </c>
      <c r="C472" t="s">
        <v>610</v>
      </c>
    </row>
    <row r="473" spans="2:3" x14ac:dyDescent="0.25">
      <c r="B473" t="s">
        <v>143</v>
      </c>
      <c r="C473" t="s">
        <v>611</v>
      </c>
    </row>
    <row r="474" spans="2:3" x14ac:dyDescent="0.25">
      <c r="B474" t="s">
        <v>143</v>
      </c>
      <c r="C474" t="s">
        <v>612</v>
      </c>
    </row>
    <row r="475" spans="2:3" x14ac:dyDescent="0.25">
      <c r="B475" t="s">
        <v>143</v>
      </c>
      <c r="C475" t="s">
        <v>613</v>
      </c>
    </row>
    <row r="476" spans="2:3" x14ac:dyDescent="0.25">
      <c r="B476" t="s">
        <v>143</v>
      </c>
      <c r="C476" t="s">
        <v>614</v>
      </c>
    </row>
    <row r="477" spans="2:3" x14ac:dyDescent="0.25">
      <c r="B477" t="s">
        <v>143</v>
      </c>
      <c r="C477" t="s">
        <v>615</v>
      </c>
    </row>
    <row r="478" spans="2:3" x14ac:dyDescent="0.25">
      <c r="B478" t="s">
        <v>143</v>
      </c>
      <c r="C478" t="s">
        <v>616</v>
      </c>
    </row>
    <row r="479" spans="2:3" x14ac:dyDescent="0.25">
      <c r="B479" t="s">
        <v>143</v>
      </c>
      <c r="C479" t="s">
        <v>617</v>
      </c>
    </row>
    <row r="480" spans="2:3" x14ac:dyDescent="0.25">
      <c r="B480" t="s">
        <v>143</v>
      </c>
      <c r="C480" t="s">
        <v>618</v>
      </c>
    </row>
    <row r="481" spans="2:3" x14ac:dyDescent="0.25">
      <c r="B481" t="s">
        <v>143</v>
      </c>
      <c r="C481" t="s">
        <v>619</v>
      </c>
    </row>
    <row r="482" spans="2:3" x14ac:dyDescent="0.25">
      <c r="B482" t="s">
        <v>143</v>
      </c>
      <c r="C482" t="s">
        <v>620</v>
      </c>
    </row>
    <row r="483" spans="2:3" x14ac:dyDescent="0.25">
      <c r="B483" t="s">
        <v>143</v>
      </c>
      <c r="C483" t="s">
        <v>621</v>
      </c>
    </row>
    <row r="484" spans="2:3" x14ac:dyDescent="0.25">
      <c r="B484" t="s">
        <v>143</v>
      </c>
      <c r="C484" t="s">
        <v>622</v>
      </c>
    </row>
    <row r="485" spans="2:3" x14ac:dyDescent="0.25">
      <c r="B485" t="s">
        <v>143</v>
      </c>
      <c r="C485" t="s">
        <v>623</v>
      </c>
    </row>
    <row r="486" spans="2:3" x14ac:dyDescent="0.25">
      <c r="B486" t="s">
        <v>143</v>
      </c>
      <c r="C486" t="s">
        <v>624</v>
      </c>
    </row>
    <row r="487" spans="2:3" x14ac:dyDescent="0.25">
      <c r="B487" t="s">
        <v>143</v>
      </c>
      <c r="C487" t="s">
        <v>625</v>
      </c>
    </row>
    <row r="488" spans="2:3" x14ac:dyDescent="0.25">
      <c r="B488" t="s">
        <v>143</v>
      </c>
      <c r="C488" t="s">
        <v>626</v>
      </c>
    </row>
    <row r="489" spans="2:3" x14ac:dyDescent="0.25">
      <c r="B489" t="s">
        <v>143</v>
      </c>
      <c r="C489" t="s">
        <v>627</v>
      </c>
    </row>
    <row r="490" spans="2:3" x14ac:dyDescent="0.25">
      <c r="B490" t="s">
        <v>143</v>
      </c>
      <c r="C490" t="s">
        <v>628</v>
      </c>
    </row>
    <row r="491" spans="2:3" x14ac:dyDescent="0.25">
      <c r="B491" t="s">
        <v>143</v>
      </c>
      <c r="C491" t="s">
        <v>629</v>
      </c>
    </row>
    <row r="492" spans="2:3" x14ac:dyDescent="0.25">
      <c r="B492" t="s">
        <v>143</v>
      </c>
      <c r="C492" t="s">
        <v>630</v>
      </c>
    </row>
    <row r="493" spans="2:3" x14ac:dyDescent="0.25">
      <c r="B493" t="s">
        <v>143</v>
      </c>
      <c r="C493" t="s">
        <v>631</v>
      </c>
    </row>
    <row r="494" spans="2:3" x14ac:dyDescent="0.25">
      <c r="B494" t="s">
        <v>143</v>
      </c>
      <c r="C494" t="s">
        <v>632</v>
      </c>
    </row>
    <row r="495" spans="2:3" x14ac:dyDescent="0.25">
      <c r="B495" t="s">
        <v>143</v>
      </c>
      <c r="C495" t="s">
        <v>633</v>
      </c>
    </row>
    <row r="496" spans="2:3" x14ac:dyDescent="0.25">
      <c r="B496" t="s">
        <v>143</v>
      </c>
      <c r="C496" t="s">
        <v>634</v>
      </c>
    </row>
    <row r="497" spans="2:3" x14ac:dyDescent="0.25">
      <c r="B497" t="s">
        <v>143</v>
      </c>
      <c r="C497" t="s">
        <v>635</v>
      </c>
    </row>
    <row r="498" spans="2:3" x14ac:dyDescent="0.25">
      <c r="B498" t="s">
        <v>143</v>
      </c>
      <c r="C498" t="s">
        <v>636</v>
      </c>
    </row>
    <row r="499" spans="2:3" x14ac:dyDescent="0.25">
      <c r="B499" t="s">
        <v>143</v>
      </c>
      <c r="C499" t="s">
        <v>637</v>
      </c>
    </row>
    <row r="500" spans="2:3" x14ac:dyDescent="0.25">
      <c r="B500" t="s">
        <v>143</v>
      </c>
      <c r="C500" t="s">
        <v>638</v>
      </c>
    </row>
    <row r="501" spans="2:3" x14ac:dyDescent="0.25">
      <c r="B501" t="s">
        <v>143</v>
      </c>
      <c r="C501" t="s">
        <v>639</v>
      </c>
    </row>
    <row r="502" spans="2:3" x14ac:dyDescent="0.25">
      <c r="B502" t="s">
        <v>143</v>
      </c>
      <c r="C502" t="s">
        <v>640</v>
      </c>
    </row>
    <row r="503" spans="2:3" x14ac:dyDescent="0.25">
      <c r="B503" t="s">
        <v>143</v>
      </c>
      <c r="C503" t="s">
        <v>641</v>
      </c>
    </row>
    <row r="504" spans="2:3" x14ac:dyDescent="0.25">
      <c r="B504" t="s">
        <v>143</v>
      </c>
      <c r="C504" t="s">
        <v>642</v>
      </c>
    </row>
    <row r="505" spans="2:3" x14ac:dyDescent="0.25">
      <c r="B505" t="s">
        <v>143</v>
      </c>
      <c r="C505" t="s">
        <v>643</v>
      </c>
    </row>
    <row r="506" spans="2:3" x14ac:dyDescent="0.25">
      <c r="B506" t="s">
        <v>143</v>
      </c>
      <c r="C506" t="s">
        <v>644</v>
      </c>
    </row>
    <row r="507" spans="2:3" x14ac:dyDescent="0.25">
      <c r="B507" t="s">
        <v>143</v>
      </c>
      <c r="C507" t="s">
        <v>645</v>
      </c>
    </row>
    <row r="508" spans="2:3" x14ac:dyDescent="0.25">
      <c r="B508" t="s">
        <v>143</v>
      </c>
      <c r="C508" t="s">
        <v>646</v>
      </c>
    </row>
    <row r="509" spans="2:3" x14ac:dyDescent="0.25">
      <c r="B509" t="s">
        <v>143</v>
      </c>
      <c r="C509" t="s">
        <v>647</v>
      </c>
    </row>
    <row r="510" spans="2:3" x14ac:dyDescent="0.25">
      <c r="B510" t="s">
        <v>143</v>
      </c>
      <c r="C510" t="s">
        <v>648</v>
      </c>
    </row>
    <row r="511" spans="2:3" x14ac:dyDescent="0.25">
      <c r="B511" t="s">
        <v>143</v>
      </c>
      <c r="C511" t="s">
        <v>649</v>
      </c>
    </row>
    <row r="512" spans="2:3" x14ac:dyDescent="0.25">
      <c r="B512" t="s">
        <v>143</v>
      </c>
      <c r="C512" t="s">
        <v>650</v>
      </c>
    </row>
  </sheetData>
  <pageMargins left="0.7" right="0.7" top="0.75" bottom="0.75" header="0.3" footer="0.3"/>
  <pageSetup orientation="portrait" horizontalDpi="300" verticalDpi="30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6"/>
  <dimension ref="A1"/>
  <sheetViews>
    <sheetView workbookViewId="0"/>
  </sheetViews>
  <sheetFormatPr defaultRowHeight="15" x14ac:dyDescent="0.25"/>
  <sheetData/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</vt:i4>
      </vt:variant>
    </vt:vector>
  </HeadingPairs>
  <TitlesOfParts>
    <vt:vector size="31" baseType="lpstr">
      <vt:lpstr>UserGuide</vt:lpstr>
      <vt:lpstr>Generate</vt:lpstr>
      <vt:lpstr>OsCore</vt:lpstr>
      <vt:lpstr>OsApplication</vt:lpstr>
      <vt:lpstr>MpuContainer</vt:lpstr>
      <vt:lpstr>Resource</vt:lpstr>
      <vt:lpstr>TrustedFunctions</vt:lpstr>
      <vt:lpstr>Task</vt:lpstr>
      <vt:lpstr>UI</vt:lpstr>
      <vt:lpstr>ISR</vt:lpstr>
      <vt:lpstr>Alarms</vt:lpstr>
      <vt:lpstr>SchedTable</vt:lpstr>
      <vt:lpstr>Rte_AlarmList</vt:lpstr>
      <vt:lpstr>Rte_EventList</vt:lpstr>
      <vt:lpstr>Stack</vt:lpstr>
      <vt:lpstr>MemMap</vt:lpstr>
      <vt:lpstr>Hooks</vt:lpstr>
      <vt:lpstr>Counters</vt:lpstr>
      <vt:lpstr>GenIRQ</vt:lpstr>
      <vt:lpstr>FIQ_Exception_Table</vt:lpstr>
      <vt:lpstr>Sheet3</vt:lpstr>
      <vt:lpstr>Sheet1</vt:lpstr>
      <vt:lpstr>Sheet2</vt:lpstr>
      <vt:lpstr>VectorTableARMCortexM4</vt:lpstr>
      <vt:lpstr>VectorTableARMCortexM7</vt:lpstr>
      <vt:lpstr>VectorTableTraveoII_B_H</vt:lpstr>
      <vt:lpstr>VectorTableTraveoII_C</vt:lpstr>
      <vt:lpstr>Revision</vt:lpstr>
      <vt:lpstr>VectorTableIMXRT</vt:lpstr>
      <vt:lpstr>VectorTableRH850D1x</vt:lpstr>
      <vt:lpstr>Sheet4</vt:lpstr>
    </vt:vector>
  </TitlesOfParts>
  <Company>Visteon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Sivasujith, Sukumaran (S.)</dc:creator>
  <cp:lastModifiedBy>Jain, Sudhanshu (S.)</cp:lastModifiedBy>
  <dcterms:created xsi:type="dcterms:W3CDTF">2017-01-06T07:07:45Z</dcterms:created>
  <dcterms:modified xsi:type="dcterms:W3CDTF">2022-08-17T10:18:30Z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